
<file path=[Content_Types].xml><?xml version="1.0" encoding="utf-8"?>
<Types xmlns="http://schemas.openxmlformats.org/package/2006/content-types">
  <Default Extension="bin" ContentType="application/vnd.ms-office.activeX"/>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activeX/activeX3.xml" ContentType="application/vnd.ms-office.activeX+xml"/>
  <Override PartName="/xl/activeX/activeX4.xml" ContentType="application/vnd.ms-office.activeX+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390" windowWidth="14610" windowHeight="4845"/>
  </bookViews>
  <sheets>
    <sheet name="RunOrder" sheetId="8" r:id="rId1"/>
    <sheet name="TestCase" sheetId="3" r:id="rId2"/>
    <sheet name="TestData" sheetId="6" r:id="rId3"/>
    <sheet name="Output" sheetId="7" r:id="rId4"/>
    <sheet name="ResultBook" sheetId="5" r:id="rId5"/>
    <sheet name="LocalRTS" sheetId="10" r:id="rId6"/>
    <sheet name="DoNotTouch" sheetId="11" state="hidden" r:id="rId7"/>
    <sheet name="Help" sheetId="12" r:id="rId8"/>
  </sheets>
  <definedNames>
    <definedName name="_xlnm._FilterDatabase" localSheetId="1" hidden="1">TestCase!$A$1:$S$1</definedName>
    <definedName name="Env">Table6[[#All],[Column1]]</definedName>
    <definedName name="search">OFFSET(DoNotTouch!$W$2,,,COUNTIF(DoNotTouch!$W$2:$W$151,"?*"))</definedName>
  </definedNames>
  <calcPr calcId="145621"/>
</workbook>
</file>

<file path=xl/calcChain.xml><?xml version="1.0" encoding="utf-8"?>
<calcChain xmlns="http://schemas.openxmlformats.org/spreadsheetml/2006/main">
  <c r="W3" i="11" l="1"/>
  <c r="W4" i="11"/>
  <c r="W5" i="11"/>
  <c r="W6" i="11"/>
  <c r="W7" i="11"/>
  <c r="W8" i="11"/>
  <c r="W9" i="11"/>
  <c r="W10" i="11"/>
  <c r="W11" i="11"/>
  <c r="W12" i="11"/>
  <c r="W13" i="11"/>
  <c r="W14" i="11"/>
  <c r="W15" i="11"/>
  <c r="W16" i="11"/>
  <c r="W17" i="11"/>
  <c r="W18" i="11"/>
  <c r="W19" i="11"/>
  <c r="W20" i="11"/>
  <c r="W21" i="11"/>
  <c r="W22" i="11"/>
  <c r="W23" i="11"/>
  <c r="W24" i="11"/>
  <c r="W25" i="11"/>
  <c r="W26" i="11"/>
  <c r="W27" i="11"/>
  <c r="W28" i="11"/>
  <c r="W29" i="11"/>
  <c r="W30" i="11"/>
  <c r="W31" i="11"/>
  <c r="W32" i="11"/>
  <c r="W33" i="11"/>
  <c r="W34" i="11"/>
  <c r="W35" i="11"/>
  <c r="W36" i="11"/>
  <c r="W37" i="11"/>
  <c r="W38" i="11"/>
  <c r="W39" i="11"/>
  <c r="W40" i="11"/>
  <c r="W41" i="11"/>
  <c r="W42" i="11"/>
  <c r="W43" i="11"/>
  <c r="W44" i="11"/>
  <c r="W45" i="11"/>
  <c r="W46" i="11"/>
  <c r="W47" i="11"/>
  <c r="W48" i="11"/>
  <c r="W49" i="11"/>
  <c r="W50" i="11"/>
  <c r="W51" i="11"/>
  <c r="W52" i="11"/>
  <c r="W53" i="11"/>
  <c r="W54" i="11"/>
  <c r="W55" i="11"/>
  <c r="W56" i="11"/>
  <c r="W57" i="11"/>
  <c r="W58" i="11"/>
  <c r="W59" i="11"/>
  <c r="W60" i="11"/>
  <c r="W61" i="11"/>
  <c r="W62" i="11"/>
  <c r="W63" i="11"/>
  <c r="W64" i="11"/>
  <c r="W65" i="11"/>
  <c r="W66" i="11"/>
  <c r="W67" i="11"/>
  <c r="W68" i="11"/>
  <c r="W69" i="11"/>
  <c r="W70" i="11"/>
  <c r="W71" i="11"/>
  <c r="W72" i="11"/>
  <c r="W73" i="11"/>
  <c r="W74" i="11"/>
  <c r="W75" i="11"/>
  <c r="W76" i="11"/>
  <c r="W77" i="11"/>
  <c r="W78" i="11"/>
  <c r="W79" i="11"/>
  <c r="W80" i="11"/>
  <c r="W81" i="11"/>
  <c r="W82" i="11"/>
  <c r="W83" i="11"/>
  <c r="W84" i="11"/>
  <c r="W85" i="11"/>
  <c r="W86" i="11"/>
  <c r="W87" i="11"/>
  <c r="W88" i="11"/>
  <c r="W89" i="11"/>
  <c r="W90" i="11"/>
  <c r="W91" i="11"/>
  <c r="W92" i="11"/>
  <c r="W93" i="11"/>
  <c r="W94" i="11"/>
  <c r="W95" i="11"/>
  <c r="W96" i="11"/>
  <c r="W97" i="11"/>
  <c r="W98" i="11"/>
  <c r="W99" i="11"/>
  <c r="W100" i="11"/>
  <c r="W101" i="11"/>
  <c r="W102" i="11"/>
  <c r="W103" i="11"/>
  <c r="W104" i="11"/>
  <c r="W105" i="11"/>
  <c r="W106" i="11"/>
  <c r="W107" i="11"/>
  <c r="W108" i="11"/>
  <c r="W109" i="11"/>
  <c r="W110" i="11"/>
  <c r="W111" i="11"/>
  <c r="W112" i="11"/>
  <c r="W113" i="11"/>
  <c r="W114" i="11"/>
  <c r="W115" i="11"/>
  <c r="W116" i="11"/>
  <c r="W117" i="11"/>
  <c r="W118" i="11"/>
  <c r="W119" i="11"/>
  <c r="W120" i="11"/>
  <c r="W121" i="11"/>
  <c r="W122" i="11"/>
  <c r="W123" i="11"/>
  <c r="W124" i="11"/>
  <c r="W125" i="11"/>
  <c r="W126" i="11"/>
  <c r="W127" i="11"/>
  <c r="W128" i="11"/>
  <c r="W129" i="11"/>
  <c r="W130" i="11"/>
  <c r="W131" i="11"/>
  <c r="W132" i="11"/>
  <c r="W133" i="11"/>
  <c r="W134" i="11"/>
  <c r="W135" i="11"/>
  <c r="W136" i="11"/>
  <c r="W137" i="11"/>
  <c r="W138" i="11"/>
  <c r="W139" i="11"/>
  <c r="W2" i="11"/>
  <c r="U3" i="11"/>
  <c r="U4" i="11" s="1"/>
  <c r="U2" i="11"/>
  <c r="V6" i="3"/>
  <c r="U6" i="3"/>
  <c r="T6" i="3"/>
  <c r="S6" i="3"/>
  <c r="R6" i="3"/>
  <c r="Q6" i="3"/>
  <c r="P6" i="3"/>
  <c r="O6" i="3"/>
  <c r="N6" i="3"/>
  <c r="M6" i="3"/>
  <c r="L6" i="3"/>
  <c r="K6" i="3"/>
  <c r="J6" i="3"/>
  <c r="I6" i="3"/>
  <c r="H6" i="3"/>
  <c r="G6" i="3"/>
  <c r="F6" i="3"/>
  <c r="E6" i="3"/>
  <c r="V5" i="3"/>
  <c r="U5" i="3"/>
  <c r="T5" i="3"/>
  <c r="S5" i="3"/>
  <c r="R5" i="3"/>
  <c r="Q5" i="3"/>
  <c r="P5" i="3"/>
  <c r="O5" i="3"/>
  <c r="N5" i="3"/>
  <c r="M5" i="3"/>
  <c r="L5" i="3"/>
  <c r="K5" i="3"/>
  <c r="J5" i="3"/>
  <c r="I5" i="3"/>
  <c r="H5" i="3"/>
  <c r="G5" i="3"/>
  <c r="F5" i="3"/>
  <c r="E5" i="3"/>
  <c r="V4" i="3"/>
  <c r="U4" i="3"/>
  <c r="T4" i="3"/>
  <c r="S4" i="3"/>
  <c r="R4" i="3"/>
  <c r="Q4" i="3"/>
  <c r="P4" i="3"/>
  <c r="O4" i="3"/>
  <c r="N4" i="3"/>
  <c r="M4" i="3"/>
  <c r="L4" i="3"/>
  <c r="K4" i="3"/>
  <c r="J4" i="3"/>
  <c r="I4" i="3"/>
  <c r="H4" i="3"/>
  <c r="G4" i="3"/>
  <c r="F4" i="3"/>
  <c r="E4" i="3"/>
  <c r="V3" i="3"/>
  <c r="U3" i="3"/>
  <c r="T3" i="3"/>
  <c r="S3" i="3"/>
  <c r="R3" i="3"/>
  <c r="Q3" i="3"/>
  <c r="P3" i="3"/>
  <c r="O3" i="3"/>
  <c r="N3" i="3"/>
  <c r="M3" i="3"/>
  <c r="L3" i="3"/>
  <c r="K3" i="3"/>
  <c r="J3" i="3"/>
  <c r="I3" i="3"/>
  <c r="H3" i="3"/>
  <c r="G3" i="3"/>
  <c r="F3" i="3"/>
  <c r="E3" i="3"/>
  <c r="V2" i="3"/>
  <c r="U2" i="3"/>
  <c r="T2" i="3"/>
  <c r="S2" i="3"/>
  <c r="R2" i="3"/>
  <c r="Q2" i="3"/>
  <c r="P2" i="3"/>
  <c r="O2" i="3"/>
  <c r="N2" i="3"/>
  <c r="M2" i="3"/>
  <c r="L2" i="3"/>
  <c r="K2" i="3"/>
  <c r="J2" i="3"/>
  <c r="I2" i="3"/>
  <c r="H2" i="3"/>
  <c r="G2" i="3"/>
  <c r="F2" i="3"/>
  <c r="E2" i="3"/>
  <c r="U5" i="11" l="1"/>
  <c r="U6" i="11"/>
  <c r="E2" i="10"/>
  <c r="V6" i="10"/>
  <c r="U6" i="10"/>
  <c r="T6" i="10"/>
  <c r="S6" i="10"/>
  <c r="R6" i="10"/>
  <c r="Q6" i="10"/>
  <c r="P6" i="10"/>
  <c r="O6" i="10"/>
  <c r="N6" i="10"/>
  <c r="M6" i="10"/>
  <c r="L6" i="10"/>
  <c r="K6" i="10"/>
  <c r="J6" i="10"/>
  <c r="I6" i="10"/>
  <c r="H6" i="10"/>
  <c r="G6" i="10"/>
  <c r="F6" i="10"/>
  <c r="E6" i="10"/>
  <c r="V5" i="10"/>
  <c r="U5" i="10"/>
  <c r="T5" i="10"/>
  <c r="S5" i="10"/>
  <c r="R5" i="10"/>
  <c r="Q5" i="10"/>
  <c r="P5" i="10"/>
  <c r="O5" i="10"/>
  <c r="N5" i="10"/>
  <c r="M5" i="10"/>
  <c r="L5" i="10"/>
  <c r="K5" i="10"/>
  <c r="J5" i="10"/>
  <c r="I5" i="10"/>
  <c r="H5" i="10"/>
  <c r="G5" i="10"/>
  <c r="F5" i="10"/>
  <c r="E5" i="10"/>
  <c r="V4" i="10"/>
  <c r="U4" i="10"/>
  <c r="T4" i="10"/>
  <c r="S4" i="10"/>
  <c r="R4" i="10"/>
  <c r="Q4" i="10"/>
  <c r="P4" i="10"/>
  <c r="O4" i="10"/>
  <c r="N4" i="10"/>
  <c r="M4" i="10"/>
  <c r="L4" i="10"/>
  <c r="K4" i="10"/>
  <c r="J4" i="10"/>
  <c r="I4" i="10"/>
  <c r="H4" i="10"/>
  <c r="G4" i="10"/>
  <c r="F4" i="10"/>
  <c r="E4" i="10"/>
  <c r="V3" i="10"/>
  <c r="U3" i="10"/>
  <c r="T3" i="10"/>
  <c r="S3" i="10"/>
  <c r="R3" i="10"/>
  <c r="Q3" i="10"/>
  <c r="P3" i="10"/>
  <c r="O3" i="10"/>
  <c r="N3" i="10"/>
  <c r="M3" i="10"/>
  <c r="L3" i="10"/>
  <c r="K3" i="10"/>
  <c r="J3" i="10"/>
  <c r="I3" i="10"/>
  <c r="H3" i="10"/>
  <c r="G3" i="10"/>
  <c r="F3" i="10"/>
  <c r="E3" i="10"/>
  <c r="V2" i="10"/>
  <c r="U2" i="10"/>
  <c r="T2" i="10"/>
  <c r="S2" i="10"/>
  <c r="R2" i="10"/>
  <c r="Q2" i="10"/>
  <c r="P2" i="10"/>
  <c r="O2" i="10"/>
  <c r="N2" i="10"/>
  <c r="M2" i="10"/>
  <c r="L2" i="10"/>
  <c r="K2" i="10"/>
  <c r="J2" i="10"/>
  <c r="I2" i="10"/>
  <c r="H2" i="10"/>
  <c r="G2" i="10"/>
  <c r="F2" i="10"/>
  <c r="V973" i="11"/>
  <c r="V972" i="11"/>
  <c r="V971" i="11"/>
  <c r="V970" i="11"/>
  <c r="U7" i="11" l="1"/>
  <c r="U973" i="11"/>
  <c r="T973" i="11"/>
  <c r="S973" i="11"/>
  <c r="R973" i="11"/>
  <c r="Q973" i="11"/>
  <c r="P973" i="11"/>
  <c r="O973" i="11"/>
  <c r="N973" i="11"/>
  <c r="M973" i="11"/>
  <c r="L973" i="11"/>
  <c r="K973" i="11"/>
  <c r="J973" i="11"/>
  <c r="I973" i="11"/>
  <c r="H973" i="11"/>
  <c r="G973" i="11"/>
  <c r="F973" i="11"/>
  <c r="E973" i="11"/>
  <c r="U972" i="11"/>
  <c r="T972" i="11"/>
  <c r="S972" i="11"/>
  <c r="R972" i="11"/>
  <c r="Q972" i="11"/>
  <c r="P972" i="11"/>
  <c r="O972" i="11"/>
  <c r="N972" i="11"/>
  <c r="M972" i="11"/>
  <c r="L972" i="11"/>
  <c r="K972" i="11"/>
  <c r="J972" i="11"/>
  <c r="I972" i="11"/>
  <c r="H972" i="11"/>
  <c r="G972" i="11"/>
  <c r="F972" i="11"/>
  <c r="E972" i="11"/>
  <c r="U971" i="11"/>
  <c r="T971" i="11"/>
  <c r="S971" i="11"/>
  <c r="R971" i="11"/>
  <c r="Q971" i="11"/>
  <c r="P971" i="11"/>
  <c r="O971" i="11"/>
  <c r="N971" i="11"/>
  <c r="M971" i="11"/>
  <c r="L971" i="11"/>
  <c r="K971" i="11"/>
  <c r="J971" i="11"/>
  <c r="I971" i="11"/>
  <c r="H971" i="11"/>
  <c r="G971" i="11"/>
  <c r="F971" i="11"/>
  <c r="E971" i="11"/>
  <c r="U970" i="11"/>
  <c r="T970" i="11"/>
  <c r="S970" i="11"/>
  <c r="R970" i="11"/>
  <c r="Q970" i="11"/>
  <c r="P970" i="11"/>
  <c r="O970" i="11"/>
  <c r="N970" i="11"/>
  <c r="M970" i="11"/>
  <c r="L970" i="11"/>
  <c r="K970" i="11"/>
  <c r="J970" i="11"/>
  <c r="I970" i="11"/>
  <c r="H970" i="11"/>
  <c r="G970" i="11"/>
  <c r="F970" i="11"/>
  <c r="E970" i="11"/>
  <c r="F969" i="11"/>
  <c r="H969" i="11" s="1"/>
  <c r="J969" i="11" s="1"/>
  <c r="L969" i="11" s="1"/>
  <c r="N969" i="11" s="1"/>
  <c r="P969" i="11" s="1"/>
  <c r="R969" i="11" s="1"/>
  <c r="T969" i="11" s="1"/>
  <c r="V969" i="11" s="1"/>
  <c r="E969" i="11"/>
  <c r="G969" i="11" s="1"/>
  <c r="I969" i="11" s="1"/>
  <c r="K969" i="11" s="1"/>
  <c r="M969" i="11" s="1"/>
  <c r="O969" i="11" s="1"/>
  <c r="Q969" i="11" s="1"/>
  <c r="S969" i="11" s="1"/>
  <c r="U969" i="11" s="1"/>
  <c r="U8" i="11" l="1"/>
  <c r="U9" i="11"/>
  <c r="U10" i="11" s="1"/>
  <c r="U11" i="11" l="1"/>
  <c r="U12" i="11"/>
  <c r="U13" i="11" l="1"/>
  <c r="U14" i="11" l="1"/>
  <c r="U15" i="11" l="1"/>
  <c r="U16" i="11"/>
  <c r="U17" i="11" s="1"/>
  <c r="U18" i="11" l="1"/>
  <c r="U19" i="11" s="1"/>
  <c r="U20" i="11" s="1"/>
  <c r="U21" i="11" s="1"/>
  <c r="U22" i="11" s="1"/>
  <c r="U23" i="11" s="1"/>
  <c r="U24" i="11" s="1"/>
  <c r="U25" i="11" s="1"/>
  <c r="U26" i="11" s="1"/>
  <c r="U27" i="11" s="1"/>
  <c r="U28" i="11" s="1"/>
  <c r="U29" i="11" s="1"/>
  <c r="U30" i="11" s="1"/>
  <c r="U31" i="11" s="1"/>
  <c r="U32" i="11" s="1"/>
  <c r="U33" i="11" s="1"/>
  <c r="U34" i="11" s="1"/>
  <c r="U35" i="11" s="1"/>
  <c r="U36" i="11" s="1"/>
  <c r="U37" i="11" s="1"/>
  <c r="U38" i="11" s="1"/>
  <c r="U39" i="11" s="1"/>
  <c r="U40" i="11" s="1"/>
  <c r="U41" i="11" s="1"/>
  <c r="U42" i="11" s="1"/>
  <c r="U43" i="11" s="1"/>
  <c r="U44" i="11" s="1"/>
  <c r="U45" i="11" s="1"/>
  <c r="U46" i="11" s="1"/>
  <c r="U47" i="11" s="1"/>
  <c r="U48" i="11" s="1"/>
  <c r="U49" i="11" s="1"/>
  <c r="U50" i="11" s="1"/>
  <c r="U51" i="11" s="1"/>
  <c r="U52" i="11" s="1"/>
  <c r="U53" i="11" s="1"/>
  <c r="U54" i="11" s="1"/>
  <c r="U55" i="11" s="1"/>
  <c r="U56" i="11" s="1"/>
  <c r="U57" i="11" s="1"/>
  <c r="U58" i="11" s="1"/>
  <c r="U59" i="11" s="1"/>
  <c r="U60" i="11" s="1"/>
  <c r="U61" i="11" s="1"/>
  <c r="U62" i="11" s="1"/>
  <c r="U63" i="11" s="1"/>
  <c r="U64" i="11" s="1"/>
  <c r="U65" i="11" s="1"/>
  <c r="U66" i="11" s="1"/>
  <c r="U67" i="11" s="1"/>
  <c r="U68" i="11" s="1"/>
  <c r="U69" i="11" s="1"/>
  <c r="U70" i="11" s="1"/>
  <c r="U71" i="11" s="1"/>
  <c r="U72" i="11" s="1"/>
  <c r="U73" i="11" s="1"/>
  <c r="U74" i="11" s="1"/>
  <c r="U75" i="11" s="1"/>
  <c r="U76" i="11" s="1"/>
  <c r="U77" i="11" s="1"/>
  <c r="U78" i="11" s="1"/>
  <c r="U79" i="11" s="1"/>
  <c r="U80" i="11" s="1"/>
  <c r="U81" i="11" s="1"/>
  <c r="U82" i="11" s="1"/>
  <c r="U83" i="11" s="1"/>
  <c r="U84" i="11" s="1"/>
  <c r="U85" i="11" s="1"/>
  <c r="U86" i="11" s="1"/>
  <c r="U87" i="11" s="1"/>
  <c r="U88" i="11" s="1"/>
  <c r="U89" i="11" s="1"/>
  <c r="U90" i="11" s="1"/>
  <c r="U91" i="11" s="1"/>
  <c r="U92" i="11" s="1"/>
  <c r="U93" i="11" s="1"/>
  <c r="U94" i="11" s="1"/>
  <c r="U95" i="11" s="1"/>
  <c r="U96" i="11" s="1"/>
  <c r="U97" i="11" s="1"/>
  <c r="U98" i="11" s="1"/>
  <c r="U99" i="11" s="1"/>
  <c r="U100" i="11" s="1"/>
  <c r="U101" i="11" s="1"/>
  <c r="U102" i="11" s="1"/>
  <c r="U103" i="11" s="1"/>
  <c r="U104" i="11" s="1"/>
  <c r="U105" i="11" s="1"/>
  <c r="U106" i="11" s="1"/>
  <c r="U107" i="11" s="1"/>
  <c r="U108" i="11" s="1"/>
  <c r="U109" i="11" s="1"/>
  <c r="U110" i="11" s="1"/>
  <c r="U111" i="11" s="1"/>
  <c r="U112" i="11" s="1"/>
  <c r="U113" i="11" s="1"/>
  <c r="U114" i="11" s="1"/>
  <c r="U115" i="11" s="1"/>
  <c r="U116" i="11" s="1"/>
  <c r="U117" i="11" s="1"/>
  <c r="U118" i="11" s="1"/>
  <c r="U119" i="11" s="1"/>
  <c r="U120" i="11" s="1"/>
  <c r="U121" i="11" s="1"/>
  <c r="U122" i="11" s="1"/>
  <c r="U123" i="11" s="1"/>
  <c r="U124" i="11" s="1"/>
  <c r="U125" i="11" s="1"/>
  <c r="U126" i="11" s="1"/>
  <c r="U127" i="11" s="1"/>
  <c r="U128" i="11" s="1"/>
  <c r="U129" i="11" s="1"/>
  <c r="U130" i="11" s="1"/>
  <c r="U131" i="11" s="1"/>
  <c r="U132" i="11" s="1"/>
  <c r="U133" i="11" s="1"/>
  <c r="U134" i="11" s="1"/>
  <c r="U135" i="11" s="1"/>
  <c r="U136" i="11" s="1"/>
  <c r="U137" i="11" s="1"/>
  <c r="U138" i="11" s="1"/>
  <c r="U139" i="11" s="1"/>
</calcChain>
</file>

<file path=xl/sharedStrings.xml><?xml version="1.0" encoding="utf-8"?>
<sst xmlns="http://schemas.openxmlformats.org/spreadsheetml/2006/main" count="1094" uniqueCount="598">
  <si>
    <t>D</t>
  </si>
  <si>
    <t>[1]OPF_SDDI_BS001_TS001_TC010_B2B_OOFF</t>
  </si>
  <si>
    <t>KTNH</t>
  </si>
  <si>
    <t>NA</t>
  </si>
  <si>
    <t>CreateIBANfromBBAN</t>
  </si>
  <si>
    <t>UpdateXMLMultiNodes</t>
  </si>
  <si>
    <t>End</t>
  </si>
  <si>
    <t>BVA_ORM_SearchInstructionAndVerifyRow</t>
  </si>
  <si>
    <t>EncodeToBase64</t>
  </si>
  <si>
    <t>MI: Status</t>
  </si>
  <si>
    <t>MI: Input Macro Name</t>
  </si>
  <si>
    <t>MO: Party Name</t>
  </si>
  <si>
    <t>MI: Expected Row Count</t>
  </si>
  <si>
    <t>MI: Instruct ID</t>
  </si>
  <si>
    <t>MI: Instruct Ref</t>
  </si>
  <si>
    <t>MI: Acc #</t>
  </si>
  <si>
    <t>MI: Bank</t>
  </si>
  <si>
    <t>MI: Processing Scheme</t>
  </si>
  <si>
    <t>MO: Party Acc#</t>
  </si>
  <si>
    <t>AcctRecon_FetchLatestFile</t>
  </si>
  <si>
    <t>AcctRecon_SubmitJob</t>
  </si>
  <si>
    <t>MI: Input Macro</t>
  </si>
  <si>
    <t>MI: Input Flaat</t>
  </si>
  <si>
    <t>ALM_Wait</t>
  </si>
  <si>
    <t>AvivaEnterText</t>
  </si>
  <si>
    <t>AvivaLogin</t>
  </si>
  <si>
    <t>AvivaScreenShot</t>
  </si>
  <si>
    <t>AvivaSearchScreen</t>
  </si>
  <si>
    <t>AvivaSearchText</t>
  </si>
  <si>
    <t>AvivaSetCursor</t>
  </si>
  <si>
    <t>AvivaSync</t>
  </si>
  <si>
    <t>BVA_ORM_CheckTransactionStatusInHistory</t>
  </si>
  <si>
    <t>BVA_ORM_Fetch_Latest_Linked_Transaction</t>
  </si>
  <si>
    <t>BVA_ORM_InstructionList_InterChange</t>
  </si>
  <si>
    <t>BVA_ORM_TransactionDetails_Instruction_InterChange</t>
  </si>
  <si>
    <t>BVA_ORM_VerifyOutgoingMsgTypeLinkedTrans_XMLDownload</t>
  </si>
  <si>
    <t>BVA_ORM_VerifySingleValueInHistory_NonExistance</t>
  </si>
  <si>
    <t>BVA_PEX_BlacklistAccount_Add</t>
  </si>
  <si>
    <t>BVA_PEX_BlacklistAccount_Endorse</t>
  </si>
  <si>
    <t>BVA_PEX_BlacklistAccount_Remove</t>
  </si>
  <si>
    <t>BVA_PEX_CheckInstructionStatusInHistory</t>
  </si>
  <si>
    <t>BVA_PEX_CheckTransactionStatusInHistory</t>
  </si>
  <si>
    <t>BVA_PEX_Chrome_ApproveCamt56UsingTransactionId</t>
  </si>
  <si>
    <t>BVA_PEX_CREAT_Mandate_VerifyDetails</t>
  </si>
  <si>
    <t>BVA_PEX_CREAT_STP_VerifyDetails</t>
  </si>
  <si>
    <t>BVA_PEX_Error_SubmitTransactionAction</t>
  </si>
  <si>
    <t>BVA_PEX_FetchValueFromSearchedResults</t>
  </si>
  <si>
    <t>BVA_PEX_GoPaymentOrders</t>
  </si>
  <si>
    <t>BVA_PEX_Instructions_TransactionList</t>
  </si>
  <si>
    <t>BVA_PEX_Interchange_Instructions_Transaction</t>
  </si>
  <si>
    <t>BVA_PEX_Interchange_TransactionID</t>
  </si>
  <si>
    <t>BVA_PEX_OutgoingInterchange_Instruction_Download</t>
  </si>
  <si>
    <t>BVA_PEX_RTRV_ACC_NO_SPO</t>
  </si>
  <si>
    <t>BVA_PEX_RTRV_CreditID_DebitAcct</t>
  </si>
  <si>
    <t>BVA_PEX_RTRV_MANDATE_DEBT_ACC</t>
  </si>
  <si>
    <t>BVA_PEX_RTRV_STOP_PYMT_DEBT_ACC</t>
  </si>
  <si>
    <t>BVA_PEX_SearchInstructionAndVerifyRow</t>
  </si>
  <si>
    <t>BVA_PEX_SearchInterchangeAndVerifyRow</t>
  </si>
  <si>
    <t>BVA_PEX_SearchMandates</t>
  </si>
  <si>
    <t>BVA_PEX_SearchTransaction_Status</t>
  </si>
  <si>
    <t>BVA_PEX_SearchTransactionAndVerifyRow</t>
  </si>
  <si>
    <t>BVA_PEX_StopPaymentOrders</t>
  </si>
  <si>
    <t>BVA_PEX_SubmitTransactionActions</t>
  </si>
  <si>
    <t>BVA_PEX_TransactionDetailsVerfication</t>
  </si>
  <si>
    <t>BVA_PEX_TransactionHistory_TransactionQualification</t>
  </si>
  <si>
    <t>BVA_PEX_VerifyLinkedTransaction</t>
  </si>
  <si>
    <t>BVA_PEX_VerifyOutgoingMessageType</t>
  </si>
  <si>
    <t>BVA_PEX_VerifySingleValueInHistory_Existance</t>
  </si>
  <si>
    <t>BVA_PEX_VerifySingleValueInHistory_NonExistance</t>
  </si>
  <si>
    <t>BVA_SPG_VerifyStatus</t>
  </si>
  <si>
    <t>CheckBatchFiles</t>
  </si>
  <si>
    <t>CopyFile</t>
  </si>
  <si>
    <t>CreateFlatFileusingMacro</t>
  </si>
  <si>
    <t>DateTimeFormatter</t>
  </si>
  <si>
    <t>DecodeFromBase64</t>
  </si>
  <si>
    <t>EOD_CreateCNAInputFile</t>
  </si>
  <si>
    <t>EOD_ValidateFile_IBANSorting</t>
  </si>
  <si>
    <t>ExecuteLinuxActionLogTime</t>
  </si>
  <si>
    <t>ExecuteSOAPAction</t>
  </si>
  <si>
    <t>ExecuteSOAPActionSecureCertificate</t>
  </si>
  <si>
    <t>ExecuteSQLQuery</t>
  </si>
  <si>
    <t>ExtractLOBtoXML</t>
  </si>
  <si>
    <t>FetchHeaderfromFlatFileOLA</t>
  </si>
  <si>
    <t>InitiatePaymentUsingIPMGun</t>
  </si>
  <si>
    <t>InitiatePaymentUsingIPMGun_Error</t>
  </si>
  <si>
    <t>GPST1</t>
  </si>
  <si>
    <t>GAT0</t>
  </si>
  <si>
    <t>ROMST</t>
  </si>
  <si>
    <t>KTN1</t>
  </si>
  <si>
    <t>KTN2</t>
  </si>
  <si>
    <t>KTN3</t>
  </si>
  <si>
    <t>KTN4</t>
  </si>
  <si>
    <t>KTN5</t>
  </si>
  <si>
    <t>PFTJ</t>
  </si>
  <si>
    <t>ReportDescriptor</t>
  </si>
  <si>
    <t>Start</t>
  </si>
  <si>
    <t>BVA_ORM_SearchInterchangeAndVerifyRow</t>
  </si>
  <si>
    <t>BVA_ORM_CheckInterchangeStatusInHistory</t>
  </si>
  <si>
    <t>BVA_ORM_SearchTransactionAndVerifyRow</t>
  </si>
  <si>
    <t>BVA_ORM_CheckInstructionStatusInHistory</t>
  </si>
  <si>
    <t>BVA_ORM_VerifySingleValueInHistory_Existance</t>
  </si>
  <si>
    <t>BVA_ORM_FetchValueFromSearchedResults</t>
  </si>
  <si>
    <t>BVA_ORM_CheckForDuplicateInterchange</t>
  </si>
  <si>
    <t>BVA_ORM_OutgoingInterchange_Instruction_Download</t>
  </si>
  <si>
    <t>BVA_PEX_NumberofTransactions_Instructions</t>
  </si>
  <si>
    <t>BVA_PEX_FetchLatestLinkedTransaction</t>
  </si>
  <si>
    <t>BVA_PEX_Transaction_AdditionalDetailsVerification</t>
  </si>
  <si>
    <t>CreateFlatFile</t>
  </si>
  <si>
    <t>ValidateSwiftMsg</t>
  </si>
  <si>
    <t>Launch_BVA_ORMURL</t>
  </si>
  <si>
    <t>Launch_BVA_PEXURL</t>
  </si>
  <si>
    <t>Launch_BVA_SPGURL</t>
  </si>
  <si>
    <t>LaunchAviva</t>
  </si>
  <si>
    <t>LogOffAviva</t>
  </si>
  <si>
    <t>Perform_FileZillaOperation</t>
  </si>
  <si>
    <t>PEX_GAT1_OPF_CONNECTOR</t>
  </si>
  <si>
    <t>Putty_Fetch_Copy_Report</t>
  </si>
  <si>
    <t>PuttyReportDownload</t>
  </si>
  <si>
    <t>ReconcileBookingEvents</t>
  </si>
  <si>
    <t>RenameFile</t>
  </si>
  <si>
    <t>ResponseOutputIPMGun</t>
  </si>
  <si>
    <t>SCTSPG_SubmitJob</t>
  </si>
  <si>
    <t>Submit_VerifyJob</t>
  </si>
  <si>
    <t>SystemLogVerification</t>
  </si>
  <si>
    <t>UpdateXMLSingleNode</t>
  </si>
  <si>
    <t>UpdateXMLSingleNodeWithXMLValue</t>
  </si>
  <si>
    <t>ValidateDBColumn</t>
  </si>
  <si>
    <t>ValidateDBTable</t>
  </si>
  <si>
    <t>ValidateOnlyString</t>
  </si>
  <si>
    <t>ValidateReportBytes</t>
  </si>
  <si>
    <t>ValidateSortdate</t>
  </si>
  <si>
    <t>ValidateSortSequence</t>
  </si>
  <si>
    <t>ValidateXML</t>
  </si>
  <si>
    <t>VerifyDifferenceFile</t>
  </si>
  <si>
    <t>VerifyResponseOutputIPMGun</t>
  </si>
  <si>
    <t>VerifyTextFile</t>
  </si>
  <si>
    <t>SendMessageToMQ</t>
  </si>
  <si>
    <t>CallRTS_Global</t>
  </si>
  <si>
    <t>CallRTS_Local</t>
  </si>
  <si>
    <t>Ideal_CreateFlatFile</t>
  </si>
  <si>
    <t>CreateFile</t>
  </si>
  <si>
    <t>StringFormatter</t>
  </si>
  <si>
    <t>KeyWord Name</t>
  </si>
  <si>
    <t>Parameter 1</t>
  </si>
  <si>
    <t>Parameter2</t>
  </si>
  <si>
    <t>Parameter 3</t>
  </si>
  <si>
    <t>Parameter 4</t>
  </si>
  <si>
    <t>Parameter 5</t>
  </si>
  <si>
    <t>Parameter 6</t>
  </si>
  <si>
    <t>Parameter 7</t>
  </si>
  <si>
    <t>Parameter 8</t>
  </si>
  <si>
    <t>Parameter 9</t>
  </si>
  <si>
    <t>Parameter 10</t>
  </si>
  <si>
    <t>Parameter 11</t>
  </si>
  <si>
    <t>Parameter 12</t>
  </si>
  <si>
    <t>Parameter 13</t>
  </si>
  <si>
    <t>Parameter 14</t>
  </si>
  <si>
    <t>Parameter 15</t>
  </si>
  <si>
    <t>Parameter 16</t>
  </si>
  <si>
    <t>Parameter 17</t>
  </si>
  <si>
    <t>Parameter 18</t>
  </si>
  <si>
    <t>Manual Step/ test step description</t>
  </si>
  <si>
    <t>MI: DSN name to be entered.</t>
  </si>
  <si>
    <t>MI: File name whose latest version needs to fetched.</t>
  </si>
  <si>
    <t>MO: Driver Excel OutPut sheet column name where latest version will be updated.</t>
  </si>
  <si>
    <t>OI: Report Flag</t>
  </si>
  <si>
    <t>MI: Job Library where Job needs to be submitted.</t>
  </si>
  <si>
    <t>MI: Job that needs to be submitted.</t>
  </si>
  <si>
    <t>MI: Time in Minutes</t>
  </si>
  <si>
    <t>MI: Field text copied from Aviva application where text needs to be entered.</t>
  </si>
  <si>
    <t>MI: Text that needs to be entered in the aviva applicaiton</t>
  </si>
  <si>
    <t>MI: Report Flag. See description.</t>
  </si>
  <si>
    <t>OI: See Report description</t>
  </si>
  <si>
    <t>MI: Text that needs to be searched in the current aviva screen</t>
  </si>
  <si>
    <t>MI: Key that needs to be sent to Aviva Application</t>
  </si>
  <si>
    <t>MI: Field Text where cursor needs to be placed.</t>
  </si>
  <si>
    <t>MI: Transaction ID</t>
  </si>
  <si>
    <t>MI: Instruction ID</t>
  </si>
  <si>
    <t>MI: TransactionEndtoEndId</t>
  </si>
  <si>
    <t>MI: TransactionReference</t>
  </si>
  <si>
    <t>MI: SettlementDateFrom</t>
  </si>
  <si>
    <t>MI: SettlementDateTo</t>
  </si>
  <si>
    <t>MI: Classification</t>
  </si>
  <si>
    <t>MI: CreditPartyAgentId</t>
  </si>
  <si>
    <t>MI: DebitPartyAgentId</t>
  </si>
  <si>
    <t>MI: IncomingInstructionType</t>
  </si>
  <si>
    <t>MO: O:LinkedTransaction</t>
  </si>
  <si>
    <t>MI: InterchangeId</t>
  </si>
  <si>
    <t>MI: FileName</t>
  </si>
  <si>
    <t>MI: FileFormat</t>
  </si>
  <si>
    <t>MI: ClearingParticipant</t>
  </si>
  <si>
    <t>MI: InterchangeReference</t>
  </si>
  <si>
    <t>MI: Direction</t>
  </si>
  <si>
    <t>OI: TransportDateFrom</t>
  </si>
  <si>
    <t>OI: TransportDateTo</t>
  </si>
  <si>
    <t>OI: TransportTimeFrom</t>
  </si>
  <si>
    <t>OI: TransportTimeTo</t>
  </si>
  <si>
    <t>MI: Interchange ID</t>
  </si>
  <si>
    <t>MO: Instruction List</t>
  </si>
  <si>
    <t>MI: Instruction Id</t>
  </si>
  <si>
    <t>MI: Instruction Reference</t>
  </si>
  <si>
    <t>MI: Originating Party Account</t>
  </si>
  <si>
    <t>MI: Instruction Type</t>
  </si>
  <si>
    <t>OI: SettlementDateFrom</t>
  </si>
  <si>
    <t>OI: DebitPartyAccount</t>
  </si>
  <si>
    <t>MO: Instruction ID</t>
  </si>
  <si>
    <t>MO: Credit Party Account</t>
  </si>
  <si>
    <t>MO: Transaction ID</t>
  </si>
  <si>
    <t>MI: Column Name</t>
  </si>
  <si>
    <t>MI: Expected Column Value to be searched</t>
  </si>
  <si>
    <t>MI: Status of the Instruction</t>
  </si>
  <si>
    <t>MI: Rejected Reason</t>
  </si>
  <si>
    <t>MO: Description of the reason</t>
  </si>
  <si>
    <t>OI: Number of Transaction</t>
  </si>
  <si>
    <t>MI : Message Tyoe</t>
  </si>
  <si>
    <t>MI: Expected Outgoing Message type</t>
  </si>
  <si>
    <t>MI: Credit Party Id</t>
  </si>
  <si>
    <t>OI: Credit Party Name</t>
  </si>
  <si>
    <t>OI: Credit Party Account</t>
  </si>
  <si>
    <t>MI: Provide TransacitonId of Cant056 message</t>
  </si>
  <si>
    <t>MI: Provide data(separated by pipes) to approve camt056 message</t>
  </si>
  <si>
    <t>MI: Mandate Reference number</t>
  </si>
  <si>
    <t>OI: Debit Party Account</t>
  </si>
  <si>
    <t>OI: Approval Status</t>
  </si>
  <si>
    <t>OI: Status</t>
  </si>
  <si>
    <t>MI: Stop Payment key</t>
  </si>
  <si>
    <t>OI: Country</t>
  </si>
  <si>
    <t>OI: Bank</t>
  </si>
  <si>
    <t>OI: Processing Scheme</t>
  </si>
  <si>
    <t>OI: Mandate Reference</t>
  </si>
  <si>
    <t>OI: Frequency</t>
  </si>
  <si>
    <t>OI: Credit Party ID</t>
  </si>
  <si>
    <t>OI: Settlement Start Date</t>
  </si>
  <si>
    <t>OI: Settlement End Date</t>
  </si>
  <si>
    <t>MI: TRANSACTION_REJECTION</t>
  </si>
  <si>
    <t>MO: Column Name in Output Sheet</t>
  </si>
  <si>
    <t>MI: strAction</t>
  </si>
  <si>
    <t>MI: strGoPaymentOrder_Bank</t>
  </si>
  <si>
    <t>MI: strGoPaymentOrder_ProcessingScheme</t>
  </si>
  <si>
    <t>MI: strGoPaymentOrder_DebitPartyAccount</t>
  </si>
  <si>
    <t>MI: strGoPaymentOrderId</t>
  </si>
  <si>
    <t>OI: strProcess</t>
  </si>
  <si>
    <t>OI: strGPOUpdate_Id</t>
  </si>
  <si>
    <t>MI: strGPO_ProcessingSch</t>
  </si>
  <si>
    <t>MO: strGoPaymentOrder_Del</t>
  </si>
  <si>
    <t>MI: T:Outbound_Instructions</t>
  </si>
  <si>
    <t>MI: T:NumberofTransactions</t>
  </si>
  <si>
    <t>MI: T:LinkedTransactions</t>
  </si>
  <si>
    <t>MO : Linked Transaction ID</t>
  </si>
  <si>
    <t>MI: Local Instrument Code</t>
  </si>
  <si>
    <t>MI: ACCEPT</t>
  </si>
  <si>
    <t>MO: Interchange ID</t>
  </si>
  <si>
    <t>MI: Expected Transaction Count</t>
  </si>
  <si>
    <t>MO: All Transaction  Reference</t>
  </si>
  <si>
    <t>MO: Debit party Account</t>
  </si>
  <si>
    <t>MI: Message type</t>
  </si>
  <si>
    <t>MI: Filter Field Name</t>
  </si>
  <si>
    <t>MI: Filter Value Name</t>
  </si>
  <si>
    <t>MI: Debit party Account</t>
  </si>
  <si>
    <t>MO: Creditor ID</t>
  </si>
  <si>
    <t>MO: List of Mandate Refrences</t>
  </si>
  <si>
    <t>MI: Name of the field</t>
  </si>
  <si>
    <t xml:space="preserve">MI: Value of the field </t>
  </si>
  <si>
    <t>MO: All the stop payment orders</t>
  </si>
  <si>
    <t>OI: SettlementDateTo</t>
  </si>
  <si>
    <t>MI: Status of mandates</t>
  </si>
  <si>
    <t>MO: Mandate Reference</t>
  </si>
  <si>
    <t>MO: Debit Party Account</t>
  </si>
  <si>
    <t>MO: Processing Scheme</t>
  </si>
  <si>
    <t>MI: Transaction Status</t>
  </si>
  <si>
    <t>MO: Transaction  Reference</t>
  </si>
  <si>
    <t>MO: Reason for rejection</t>
  </si>
  <si>
    <t>OO: Credit Party Account Number</t>
  </si>
  <si>
    <t>MI: strStopPaymentOrder_Bank</t>
  </si>
  <si>
    <t>MI: strStopPaymentOrder_ProcessingScheme</t>
  </si>
  <si>
    <t>MI: strStopPaymentOrder_Outcome</t>
  </si>
  <si>
    <t>MI: strStopPaymentOrder_DebitPartyAccount</t>
  </si>
  <si>
    <t>OI: strStopPaymentOrder_CreditPartyId</t>
  </si>
  <si>
    <t>OI: strStopPaymentOrder_MandateReference</t>
  </si>
  <si>
    <t>MO: strStopPaymentOrderId</t>
  </si>
  <si>
    <t>MI: strSTPOEndorse_Id</t>
  </si>
  <si>
    <t>MI: strProcess</t>
  </si>
  <si>
    <t>MI: strSTPOUpdate_Id</t>
  </si>
  <si>
    <t>MI: strSTPO_CreditPartyCountry</t>
  </si>
  <si>
    <t>MI: strSTPODelete_Id</t>
  </si>
  <si>
    <t>MI: TRANSACTION_APPROVAL</t>
  </si>
  <si>
    <t>MO: APPROVE</t>
  </si>
  <si>
    <t>MO: New Transaction ID created for rejecting a Transaction</t>
  </si>
  <si>
    <t>MI: Qualification Status</t>
  </si>
  <si>
    <t>MI: Col Name in Output Sheet</t>
  </si>
  <si>
    <t>MI: Exp Outgoing Messg Type</t>
  </si>
  <si>
    <t>MI: SPG Status</t>
  </si>
  <si>
    <t>MI: Reference Number</t>
  </si>
  <si>
    <t>OI: SPGRefernce</t>
  </si>
  <si>
    <t>OI: SPGReason</t>
  </si>
  <si>
    <t>OO: SPGRefernce</t>
  </si>
  <si>
    <t>MI: T:TextFileName</t>
  </si>
  <si>
    <t>MI: O:HeaderValue</t>
  </si>
  <si>
    <t>MI: T:PuttyFileName</t>
  </si>
  <si>
    <t>MI: T:Ola_Dir</t>
  </si>
  <si>
    <t>MI: T:Change_User</t>
  </si>
  <si>
    <t>MI: Source file name</t>
  </si>
  <si>
    <t>MI: Detination file name. If file already exist then file is deleted and new file is created.</t>
  </si>
  <si>
    <t>OI: Path of the source file.If  blank, source path is current execution destination path of framework.</t>
  </si>
  <si>
    <t>OI: Path of the destination file to be created. If blank, detination path is same as source path.</t>
  </si>
  <si>
    <t>MI: Input Macro File Name</t>
  </si>
  <si>
    <t>MI: Input Flat File Name</t>
  </si>
  <si>
    <t>MI: This will be the BBAN number</t>
  </si>
  <si>
    <t>MO: This is column name in Output sheet where IBAN will be saved.</t>
  </si>
  <si>
    <t>MI: SwiftMesageFIlename</t>
  </si>
  <si>
    <t>OI: BasicHeaderValues</t>
  </si>
  <si>
    <t>OI: AppheaderValues</t>
  </si>
  <si>
    <t>OI: UserHeadervalues</t>
  </si>
  <si>
    <t>MI: BodyNodes</t>
  </si>
  <si>
    <t>MI: BodyValues</t>
  </si>
  <si>
    <t>OI: TrailerValues</t>
  </si>
  <si>
    <t>MI: Input Time Stamp</t>
  </si>
  <si>
    <t>MO: Output variable name</t>
  </si>
  <si>
    <t>MI: Expected time stamp format</t>
  </si>
  <si>
    <t>MI: T:XMLTemplateName1</t>
  </si>
  <si>
    <t>MI: It will contain node and the value(separated by |) to be validated.</t>
  </si>
  <si>
    <t>MI: T:Filename</t>
  </si>
  <si>
    <t>MI: File or STRING</t>
  </si>
  <si>
    <t>MO: O:EncodedPayload</t>
  </si>
  <si>
    <t>MI: T:EncodeFileOrVariableFlag</t>
  </si>
  <si>
    <t>MI: O:EncodedPayload</t>
  </si>
  <si>
    <t>MI: Name of the application for which we are creating this file</t>
  </si>
  <si>
    <t>MI: Header of the file. It should be in the exact format.</t>
  </si>
  <si>
    <t>MI: IBAN. If we have to add more than 1 IBAN then they should be separated by ;</t>
  </si>
  <si>
    <t>OI: Status Of IBAN (can be ACTIVE or CLOSED). If left blank it will pick from DB for that IBAN</t>
  </si>
  <si>
    <t>MI: Can be any date in YYYY-MM-DD format</t>
  </si>
  <si>
    <t>OI: Mandatory for IBAN with CLOSED status. And BLANK for ACTIVE</t>
  </si>
  <si>
    <t>MI: Name with which file has to be saved. It will be save in Test Case Automation Results folder</t>
  </si>
  <si>
    <t>MI: It'll contain the ROM server name which is placed in environment file</t>
  </si>
  <si>
    <t>MI: It will contain linux cmmand which need to be executed (passed from datasheet)</t>
  </si>
  <si>
    <t>OI: It will contain linux cmmand which need to be executed (passed from datasheet)</t>
  </si>
  <si>
    <t>OI: it will contain execution time of soap request executed(passed from datasheet)</t>
  </si>
  <si>
    <t xml:space="preserve">MO: It will save log file name in along with test case name </t>
  </si>
  <si>
    <t>MI: Server1 host name from where file created</t>
  </si>
  <si>
    <t>MI: Server2 host name from where file created</t>
  </si>
  <si>
    <t>MO: Putty log file's absolute path</t>
  </si>
  <si>
    <t>MI: Server log file name</t>
  </si>
  <si>
    <t>MI: Linux command to perform</t>
  </si>
  <si>
    <t>OI: Linux command to perform</t>
  </si>
  <si>
    <t xml:space="preserve">MI: E:ROMMQTester </t>
  </si>
  <si>
    <t>MI: T:MQTestorSelect</t>
  </si>
  <si>
    <t>MI: This would be the updated XML file with required nodes updated using UpdateXMLMultiNodes.</t>
  </si>
  <si>
    <t>MI: This is an input parameter for WSDL url from testdata sheet. This is mandatory parameter.</t>
  </si>
  <si>
    <t>MI: This is an input parameter for SAOP Action url from testdata sheet.</t>
  </si>
  <si>
    <t>OO: If the user wants, can save the node data in ‘Output’ sheet for later use</t>
  </si>
  <si>
    <t>OO: This parameters can be used to validate any node with expected data</t>
  </si>
  <si>
    <t>OO: This parameters can be used to write the time stamp to output sheet. I.e. at what time the response is generated.</t>
  </si>
  <si>
    <t>MI: Connection String Type</t>
  </si>
  <si>
    <t>MI: Query</t>
  </si>
  <si>
    <t>OO: DBCOLval</t>
  </si>
  <si>
    <t>OO: result</t>
  </si>
  <si>
    <t>MI: SPG_BLOB| HGTB203 PAIN002 BLOB</t>
  </si>
  <si>
    <t>MI: O:Cnt_SQL3</t>
  </si>
  <si>
    <t>MI: O:SQL3</t>
  </si>
  <si>
    <t>MI: T:LOB_Field</t>
  </si>
  <si>
    <t>MO: T:LOB_XMLFileName</t>
  </si>
  <si>
    <t xml:space="preserve">MO: Output Value that stores Version Number </t>
  </si>
  <si>
    <t>MI: T:Linux_Str_Id</t>
  </si>
  <si>
    <t>MI: T:Linux_id</t>
  </si>
  <si>
    <t>MI: O:LinuxFileName</t>
  </si>
  <si>
    <t>MI: E:MQSERVER_ORM</t>
  </si>
  <si>
    <t>MI: T:IPMGunPath</t>
  </si>
  <si>
    <t>MI: T:XMLTemplateName2</t>
  </si>
  <si>
    <t>MI: T:TrasportType</t>
  </si>
  <si>
    <t>MI: T:DialogType</t>
  </si>
  <si>
    <t>MI: E:PEXManager</t>
  </si>
  <si>
    <t>MI: E:ORMPutQueueInterchangeLoader</t>
  </si>
  <si>
    <t>MI: E:ORMReplyToQueueInterchangeLoader</t>
  </si>
  <si>
    <t>MI: E:ORMGetQueueInterchangeLoader</t>
  </si>
  <si>
    <t>MI: T:InterProcessDesc</t>
  </si>
  <si>
    <t>MI: T:SendFormat</t>
  </si>
  <si>
    <t>MI: T:Encoding</t>
  </si>
  <si>
    <t>MI: E:UserOPFall1</t>
  </si>
  <si>
    <t>MI: E:ORM_BVA_URL_User1</t>
  </si>
  <si>
    <t>MI: URL for OPF Fall cookies</t>
  </si>
  <si>
    <t>MI: URL for BVA ORM application</t>
  </si>
  <si>
    <t>MI: E:SPG_BVA_URL_User1</t>
  </si>
  <si>
    <t>MI: E:Linux_Server</t>
  </si>
  <si>
    <t>MI: T:FilezillPath</t>
  </si>
  <si>
    <t>MI: O:DownloadedReport</t>
  </si>
  <si>
    <t>MI: T:RemoteFolderPath</t>
  </si>
  <si>
    <t>OI: E:BatchJobsLinuxPortNo</t>
  </si>
  <si>
    <t>MI: T:FileZillaOperation</t>
  </si>
  <si>
    <t>MI: T:ServerName</t>
  </si>
  <si>
    <t>OI: T:TransferType</t>
  </si>
  <si>
    <t>MI: E:BatchJobsLinuxServer</t>
  </si>
  <si>
    <t>MO: T:PuttyCommand1</t>
  </si>
  <si>
    <t>MO: T:PuttyCommand2</t>
  </si>
  <si>
    <t>MO: T:PuttyCommand3</t>
  </si>
  <si>
    <t>MI: T:ReportFileName</t>
  </si>
  <si>
    <t>MO: O:DownloadedReport</t>
  </si>
  <si>
    <t>MO: O:CommandExecutionTime</t>
  </si>
  <si>
    <t>MI: T:Command3</t>
  </si>
  <si>
    <t>MI: DB Name</t>
  </si>
  <si>
    <t>MI: Booking Event | Date</t>
  </si>
  <si>
    <t>MI: T: XmlFileName</t>
  </si>
  <si>
    <t>MO: Output Xml File Name when empty nodes get removed</t>
  </si>
  <si>
    <t>MI: Existing file name.</t>
  </si>
  <si>
    <t>MI: Existing file will be renamed to the name specified here.</t>
  </si>
  <si>
    <t>OI: Path of the file to be renamed. If blank("") then takes current exection path of framework.</t>
  </si>
  <si>
    <t>MI: T:OutInterProcessDesc</t>
  </si>
  <si>
    <t>MI: T:SearchValue</t>
  </si>
  <si>
    <t>OO: O:StpPaymntKey</t>
  </si>
  <si>
    <t xml:space="preserve">MI: Job Library </t>
  </si>
  <si>
    <t>MI: Job that needs to submitted.</t>
  </si>
  <si>
    <t>MI: Job Library name</t>
  </si>
  <si>
    <t>MI: Job Name</t>
  </si>
  <si>
    <t>MI: String to be searched to be verify in Job ID</t>
  </si>
  <si>
    <t>OI: String whose exact value to be find from Job ID details. Have to give some unique value</t>
  </si>
  <si>
    <t>OI: Column range in Aviva application which is the exact position of the value we are looking for and is next to or near to the string we are searching in the above parameter</t>
  </si>
  <si>
    <t>OO: This will store the returned value</t>
  </si>
  <si>
    <t>MI: E:PEX_SystemLog</t>
  </si>
  <si>
    <t>MI: T:SubString1</t>
  </si>
  <si>
    <t>MI: T:SubString2</t>
  </si>
  <si>
    <t>OI: Execution time of the action</t>
  </si>
  <si>
    <t>MI: It'll contain expected number of rows.</t>
  </si>
  <si>
    <t>MI: It'll contain the input SQL query which may require initialisation of few fields in WHERE clause.</t>
  </si>
  <si>
    <t>MO: This is output variable which stores expected number of rows.</t>
  </si>
  <si>
    <t>MO: This is output variable which stores the updated final SQL query.</t>
  </si>
  <si>
    <t>OI: It'll contain value which needs to be updated in SQL query.</t>
  </si>
  <si>
    <t>MI: It'll contain the xml file name</t>
  </si>
  <si>
    <t>MI: It'll contain the node Xpath(Absolute/relative)</t>
  </si>
  <si>
    <t>MI: It'll contain new value of the node</t>
  </si>
  <si>
    <t>OO: This is output variable which stores the updated node value to output sheet.</t>
  </si>
  <si>
    <t>OI: Input can be 'False' or anything. If this parameter is false then framework will not reset the XML value to original value, else it will reset the XML.</t>
  </si>
  <si>
    <t>MI: T:XMLNodeXPath1</t>
  </si>
  <si>
    <t>MI: T:XMLValue1</t>
  </si>
  <si>
    <t>MO: O:MsgId</t>
  </si>
  <si>
    <t>MI: DB Col Value</t>
  </si>
  <si>
    <t>MI: ORM|ORM</t>
  </si>
  <si>
    <t>MI: ExpCnt_ORM</t>
  </si>
  <si>
    <t>MI: SQL_ORM</t>
  </si>
  <si>
    <t>OO:ORM_PAYMENTINTERCHANGEKEY</t>
  </si>
  <si>
    <t>MI: T:logFilePath</t>
  </si>
  <si>
    <t>MI: T:LinuxString</t>
  </si>
  <si>
    <t>MI: T:Linux_str1</t>
  </si>
  <si>
    <t>MI: T:XMLOutputPayload</t>
  </si>
  <si>
    <t>MO: O:LinuxPayloadXML</t>
  </si>
  <si>
    <t>MI: It will containa string</t>
  </si>
  <si>
    <t>MI: It will contain the identifier</t>
  </si>
  <si>
    <t>MI: T:HeaderBytes</t>
  </si>
  <si>
    <t>MI: T:BodyBytes</t>
  </si>
  <si>
    <t>MI: T:TraileBytes</t>
  </si>
  <si>
    <t>MI: T:XMLReportTypeValue</t>
  </si>
  <si>
    <t>MI: It will contain input xml name which need to be validated</t>
  </si>
  <si>
    <t xml:space="preserve">MI: It will contain node name which need to be sorted along with its index </t>
  </si>
  <si>
    <t xml:space="preserve">MI: It will contain sort order type </t>
  </si>
  <si>
    <t>MI: Xml File Name</t>
  </si>
  <si>
    <t>MI: Searching Node Name  with optional value - no of times node present in xml</t>
  </si>
  <si>
    <t>OI: Searching Node type</t>
  </si>
  <si>
    <t>MO: T:XMLNodeXPath1</t>
  </si>
  <si>
    <t>MO: T:XMLValue1</t>
  </si>
  <si>
    <t>MI: COK difference file name.</t>
  </si>
  <si>
    <t>MI: T:ResponseSearch</t>
  </si>
  <si>
    <t>MI: T:SOAPFAULTmessagenumber</t>
  </si>
  <si>
    <t>MI: T:XMLNode1</t>
  </si>
  <si>
    <t>MI: Text File Name</t>
  </si>
  <si>
    <t>MI: Content to be verified.</t>
  </si>
  <si>
    <t>OI: Verification Type. Please refer description.</t>
  </si>
  <si>
    <t xml:space="preserve">OI: Path of the text file. </t>
  </si>
  <si>
    <t>MI: RequestAndReply</t>
  </si>
  <si>
    <t>MI: T:EnvXML1</t>
  </si>
  <si>
    <t>MO: T:WMQResponseXML</t>
  </si>
  <si>
    <t>MI: E:MQSERVER_SYS</t>
  </si>
  <si>
    <t>MI: E:MQCHANNEL_ORM</t>
  </si>
  <si>
    <t>MI: E:MQSERVER_PEX_STUB</t>
  </si>
  <si>
    <t>MI: E:MQCHANNEL_ORM_STUB</t>
  </si>
  <si>
    <t>MI: E:ORMManager</t>
  </si>
  <si>
    <t>MI: E:ORMReplyQueue</t>
  </si>
  <si>
    <t>MI: E:ORMGetQueue</t>
  </si>
  <si>
    <t>MI: Worksheet Name</t>
  </si>
  <si>
    <t>MI: Reusable Test Step Name</t>
  </si>
  <si>
    <t>MI: It will contains all the fields required in Header of flat file separated by |</t>
  </si>
  <si>
    <t>MI: It will contains all the fields required in body of flat file separated by |. For more than 1 Transactions create a separate column in data sheet and provide the column name in test case sheet separate by |</t>
  </si>
  <si>
    <t>MI: It will contains all the fields required in Trailer of flat file separated by |</t>
  </si>
  <si>
    <t>MI: It will contains flat file name</t>
  </si>
  <si>
    <t>MO: It will contain the final file name</t>
  </si>
  <si>
    <t>MO: File Name or Without absolute path</t>
  </si>
  <si>
    <t>MI: File Content</t>
  </si>
  <si>
    <t>D0</t>
  </si>
  <si>
    <t>D1</t>
  </si>
  <si>
    <t>D5</t>
  </si>
  <si>
    <t>D4</t>
  </si>
  <si>
    <t>D3</t>
  </si>
  <si>
    <t>D2</t>
  </si>
  <si>
    <t>D6</t>
  </si>
  <si>
    <t>D7</t>
  </si>
  <si>
    <t>D8</t>
  </si>
  <si>
    <t>D9</t>
  </si>
  <si>
    <t>D10</t>
  </si>
  <si>
    <t>D11</t>
  </si>
  <si>
    <t>D12</t>
  </si>
  <si>
    <t>D13</t>
  </si>
  <si>
    <t>D14</t>
  </si>
  <si>
    <t>D15</t>
  </si>
  <si>
    <t>D16</t>
  </si>
  <si>
    <t>D17</t>
  </si>
  <si>
    <t>D18</t>
  </si>
  <si>
    <t>D19</t>
  </si>
  <si>
    <t>D20</t>
  </si>
  <si>
    <t>TEST_CASE_ID</t>
  </si>
  <si>
    <t>MANUAL_TC_ID</t>
  </si>
  <si>
    <t>ENVIRONMENT</t>
  </si>
  <si>
    <t>STATUS</t>
  </si>
  <si>
    <t>STEP</t>
  </si>
  <si>
    <t>ACTION</t>
  </si>
  <si>
    <t>INPUT_PARAM1</t>
  </si>
  <si>
    <t>INPUT_PARAM2</t>
  </si>
  <si>
    <t>INPUT_PARAM3</t>
  </si>
  <si>
    <t>INPUT_PARAM4</t>
  </si>
  <si>
    <t>INPUT_PARAM5</t>
  </si>
  <si>
    <t>INPUT_PARAM6</t>
  </si>
  <si>
    <t>INPUT_PARAM7</t>
  </si>
  <si>
    <t>INPUT_PARAM8</t>
  </si>
  <si>
    <t>INPUT_PARAM9</t>
  </si>
  <si>
    <t>INPUT_PARAM10</t>
  </si>
  <si>
    <t>INPUT_PARAM11</t>
  </si>
  <si>
    <t>INPUT_PARAM12</t>
  </si>
  <si>
    <t>INPUT_PARAM13</t>
  </si>
  <si>
    <t>INPUT_PARAM14</t>
  </si>
  <si>
    <t>INPUT_PARAM15</t>
  </si>
  <si>
    <t>INPUT_PARAM16</t>
  </si>
  <si>
    <t>INPUT_PARAM17</t>
  </si>
  <si>
    <t>INPUT_PARAM18</t>
  </si>
  <si>
    <t>COMMENTS</t>
  </si>
  <si>
    <t>D_RESULTFOLDER</t>
  </si>
  <si>
    <t>D1_RESULTFOLDER</t>
  </si>
  <si>
    <t>D2_RESULTFOLDER</t>
  </si>
  <si>
    <t>D3_RESULTFOLDER</t>
  </si>
  <si>
    <t>D4_RESULTFOLDER</t>
  </si>
  <si>
    <t>D5_RESULTFOLDER</t>
  </si>
  <si>
    <t>D6_RESULTFOLDER</t>
  </si>
  <si>
    <t>D7_RESULTFOLDER</t>
  </si>
  <si>
    <t>D8_RESULTFOLDER</t>
  </si>
  <si>
    <t>D9_RESULTFOLDER</t>
  </si>
  <si>
    <t>D10_RESULTFOLDER</t>
  </si>
  <si>
    <t>D11_RESULTFOLDER</t>
  </si>
  <si>
    <t>D12_RESULTFOLDER</t>
  </si>
  <si>
    <t>D13_RESULTFOLDER</t>
  </si>
  <si>
    <t>D14_RESULTFOLDER</t>
  </si>
  <si>
    <t>D15_RESULTFOLDER</t>
  </si>
  <si>
    <t>D16_RESULTFOLDER</t>
  </si>
  <si>
    <t>D17_RESULTFOLDER</t>
  </si>
  <si>
    <t>D18_RESULTFOLDER</t>
  </si>
  <si>
    <t>D19_RESULTFOLDER</t>
  </si>
  <si>
    <t>D20_RESULTFOLDER</t>
  </si>
  <si>
    <t>INIT_D1</t>
  </si>
  <si>
    <t>STAGE</t>
  </si>
  <si>
    <t>D0_INIT</t>
  </si>
  <si>
    <t>SLNO</t>
  </si>
  <si>
    <t>TH</t>
  </si>
  <si>
    <t>S.No</t>
  </si>
  <si>
    <t>[1]OPF_SDDI_BS001_TS001_TC010_B2B_OOFF4</t>
  </si>
  <si>
    <r>
      <rPr>
        <b/>
        <sz val="11"/>
        <color theme="1"/>
        <rFont val="Calibri"/>
        <family val="2"/>
        <scheme val="minor"/>
      </rPr>
      <t xml:space="preserve">
Buttons:</t>
    </r>
    <r>
      <rPr>
        <sz val="11"/>
        <color theme="1"/>
        <rFont val="Calibri"/>
        <family val="2"/>
        <scheme val="minor"/>
      </rPr>
      <t xml:space="preserve">
</t>
    </r>
    <r>
      <rPr>
        <b/>
        <sz val="11"/>
        <color theme="1"/>
        <rFont val="Calibri"/>
        <family val="2"/>
        <scheme val="minor"/>
      </rPr>
      <t xml:space="preserve">1.Update Latest Data: </t>
    </r>
    <r>
      <rPr>
        <sz val="11"/>
        <color theme="1"/>
        <rFont val="Calibri"/>
        <family val="2"/>
        <scheme val="minor"/>
      </rPr>
      <t xml:space="preserve">This button updates all dropdown with latest Data from Sharepoint
</t>
    </r>
    <r>
      <rPr>
        <b/>
        <sz val="11"/>
        <color theme="1"/>
        <rFont val="Calibri"/>
        <family val="2"/>
        <scheme val="minor"/>
      </rPr>
      <t xml:space="preserve">2.Clear Unwanted Data: </t>
    </r>
    <r>
      <rPr>
        <sz val="11"/>
        <color theme="1"/>
        <rFont val="Calibri"/>
        <family val="2"/>
        <scheme val="minor"/>
      </rPr>
      <t xml:space="preserve">This Button is to clear any unwanted data from all Sheets. Ex : all "Zero (0)" which were generated as part of template creation will be cleared off
</t>
    </r>
    <r>
      <rPr>
        <b/>
        <sz val="11"/>
        <color theme="1"/>
        <rFont val="Calibri"/>
        <family val="2"/>
        <scheme val="minor"/>
      </rPr>
      <t xml:space="preserve">3.Create Work Flow: </t>
    </r>
    <r>
      <rPr>
        <sz val="11"/>
        <color theme="1"/>
        <rFont val="Calibri"/>
        <family val="2"/>
        <scheme val="minor"/>
      </rPr>
      <t xml:space="preserve">is to generate\populate all sheets based on the basic details filled by user in RunOrder Sheet
</t>
    </r>
    <r>
      <rPr>
        <b/>
        <sz val="11"/>
        <color theme="1"/>
        <rFont val="Calibri"/>
        <family val="2"/>
        <scheme val="minor"/>
      </rPr>
      <t xml:space="preserve">4. Validate Data: </t>
    </r>
    <r>
      <rPr>
        <sz val="11"/>
        <color theme="1"/>
        <rFont val="Calibri"/>
        <family val="2"/>
        <scheme val="minor"/>
      </rPr>
      <t xml:space="preserve">This Button is to validate if there are any mistakes done by users while filling data in all sheets. Ex : It checks for any special charaters in Column Names. Its recommended that users always clicks this buttton if user update any records in any of the sheet
Create Work Flow:Always adds rows in Testcase sheet with the names of all testcases present run order sheet
</t>
    </r>
  </si>
  <si>
    <t>AvivaSendKEY</t>
  </si>
  <si>
    <t>BVA_ORM_SEARCHDIRECTORYLOCATION</t>
  </si>
  <si>
    <t>BVA_PEX_VerifyOutgoingMsgtypelinkedTrans_XmlDownload</t>
  </si>
  <si>
    <t>CreateSwiftMsg</t>
  </si>
  <si>
    <t>EXECUTELINUXACTION</t>
  </si>
  <si>
    <t>EXECUTEMQTESTERTOOL</t>
  </si>
  <si>
    <t>FetchInitalTransactionXlOutput</t>
  </si>
  <si>
    <t>FetchLinuxID</t>
  </si>
  <si>
    <t>Generate_IpmGunCMDFile</t>
  </si>
  <si>
    <t>Launch_BVA_BOC</t>
  </si>
  <si>
    <t>LaunchPuttySearchLogFile</t>
  </si>
  <si>
    <t>RemoveEmptyXmlNodes</t>
  </si>
  <si>
    <t>SimpleSearch_BVA_BOC</t>
  </si>
  <si>
    <t>SimpleSearchUnknown_BVA_BOC</t>
  </si>
  <si>
    <t>UpdateSQL</t>
  </si>
  <si>
    <t>ValidateLinuxLogFile</t>
  </si>
  <si>
    <t>VALIDATELINUXOUTPUTDATA</t>
  </si>
  <si>
    <t>VALIDATELINUXOUTPUTXML</t>
  </si>
  <si>
    <t>VALIDATEXMLCHARACTER</t>
  </si>
  <si>
    <t>VSI_SubmitJob</t>
  </si>
  <si>
    <t>VSI_UpdateARIdate</t>
  </si>
  <si>
    <t>Column1</t>
  </si>
  <si>
    <t>BVA</t>
  </si>
  <si>
    <t>ON</t>
  </si>
  <si>
    <t>ReusableFlow_1</t>
  </si>
  <si>
    <t>OFF</t>
  </si>
  <si>
    <t>BOCST</t>
  </si>
  <si>
    <t>CNAT1</t>
  </si>
  <si>
    <t>CNAT2</t>
  </si>
  <si>
    <t>CNAT3</t>
  </si>
  <si>
    <t>FTMDEV</t>
  </si>
  <si>
    <t>FTMST</t>
  </si>
  <si>
    <t>FTMUAT</t>
  </si>
  <si>
    <t>GAT1</t>
  </si>
  <si>
    <t>OIV-ST</t>
  </si>
  <si>
    <t>SV-SYST0</t>
  </si>
  <si>
    <t>SV-SYST1</t>
  </si>
  <si>
    <t>SV-SYST2</t>
  </si>
  <si>
    <t>SV-SYST3</t>
  </si>
</sst>
</file>

<file path=xl/styles.xml><?xml version="1.0" encoding="utf-8"?>
<styleSheet xmlns="http://schemas.openxmlformats.org/spreadsheetml/2006/main" xmlns:mc="http://schemas.openxmlformats.org/markup-compatibility/2006" xmlns:x14ac="http://schemas.microsoft.com/office/spreadsheetml/2009/9/ac" mc:Ignorable="x14ac">
  <fonts count="10" x14ac:knownFonts="1">
    <font>
      <sz val="11"/>
      <color theme="1"/>
      <name val="Calibri"/>
      <family val="2"/>
      <scheme val="minor"/>
    </font>
    <font>
      <b/>
      <sz val="9"/>
      <color theme="0"/>
      <name val="Trebuchet MS"/>
      <family val="2"/>
    </font>
    <font>
      <sz val="9"/>
      <color theme="1"/>
      <name val="Trebuchet MS"/>
      <family val="2"/>
    </font>
    <font>
      <sz val="10"/>
      <name val="Cambria"/>
      <family val="2"/>
      <scheme val="major"/>
    </font>
    <font>
      <sz val="10"/>
      <name val="Calibri Light"/>
      <family val="2"/>
    </font>
    <font>
      <sz val="10"/>
      <name val="Arial"/>
      <family val="2"/>
    </font>
    <font>
      <sz val="9"/>
      <color theme="1"/>
      <name val="Calibri Light"/>
      <family val="2"/>
    </font>
    <font>
      <sz val="9"/>
      <color theme="0" tint="-0.34998626667073579"/>
      <name val="Calibri Light"/>
      <family val="2"/>
    </font>
    <font>
      <b/>
      <sz val="9"/>
      <color theme="0"/>
      <name val="Calibri Light"/>
      <family val="2"/>
    </font>
    <font>
      <b/>
      <sz val="11"/>
      <color theme="1"/>
      <name val="Calibri"/>
      <family val="2"/>
      <scheme val="minor"/>
    </font>
  </fonts>
  <fills count="6">
    <fill>
      <patternFill patternType="none"/>
    </fill>
    <fill>
      <patternFill patternType="gray125"/>
    </fill>
    <fill>
      <patternFill patternType="solid">
        <fgColor theme="8" tint="-0.249977111117893"/>
        <bgColor indexed="64"/>
      </patternFill>
    </fill>
    <fill>
      <patternFill patternType="solid">
        <fgColor theme="7" tint="-0.499984740745262"/>
        <bgColor indexed="64"/>
      </patternFill>
    </fill>
    <fill>
      <patternFill patternType="solid">
        <fgColor theme="0"/>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5" fillId="0" borderId="0"/>
  </cellStyleXfs>
  <cellXfs count="17">
    <xf numFmtId="0" fontId="0" fillId="0" borderId="0" xfId="0"/>
    <xf numFmtId="0" fontId="1" fillId="3" borderId="1" xfId="0" applyFont="1" applyFill="1" applyBorder="1" applyAlignment="1">
      <alignment horizontal="center"/>
    </xf>
    <xf numFmtId="0" fontId="1" fillId="2" borderId="1" xfId="0" applyFont="1" applyFill="1" applyBorder="1" applyAlignment="1">
      <alignment horizontal="center"/>
    </xf>
    <xf numFmtId="0" fontId="6" fillId="0" borderId="1" xfId="0" applyFont="1" applyBorder="1" applyAlignment="1">
      <alignment horizontal="center" vertical="center"/>
    </xf>
    <xf numFmtId="0" fontId="6" fillId="0" borderId="0" xfId="0" applyFont="1" applyAlignment="1">
      <alignment horizontal="left" vertical="top"/>
    </xf>
    <xf numFmtId="0" fontId="6" fillId="0" borderId="0" xfId="0" applyFont="1"/>
    <xf numFmtId="0" fontId="8" fillId="2" borderId="1" xfId="0" applyFont="1" applyFill="1" applyBorder="1" applyAlignment="1">
      <alignment horizontal="center"/>
    </xf>
    <xf numFmtId="0" fontId="0" fillId="0" borderId="1" xfId="0" applyBorder="1"/>
    <xf numFmtId="0" fontId="3" fillId="0" borderId="1" xfId="0" applyFont="1" applyBorder="1" applyAlignment="1">
      <alignment horizontal="left" vertical="top"/>
    </xf>
    <xf numFmtId="0" fontId="4" fillId="0" borderId="1" xfId="0" quotePrefix="1" applyFont="1" applyBorder="1" applyAlignment="1">
      <alignment horizontal="left" vertical="top"/>
    </xf>
    <xf numFmtId="0" fontId="2" fillId="4" borderId="1" xfId="0" applyFont="1" applyFill="1" applyBorder="1" applyAlignment="1">
      <alignment horizontal="center"/>
    </xf>
    <xf numFmtId="0" fontId="7" fillId="0" borderId="1" xfId="0" applyFont="1" applyFill="1" applyBorder="1" applyAlignment="1" applyProtection="1">
      <alignment horizontal="left" vertical="top"/>
    </xf>
    <xf numFmtId="0" fontId="0" fillId="4" borderId="1" xfId="0" applyFill="1" applyBorder="1"/>
    <xf numFmtId="49" fontId="8" fillId="2" borderId="1" xfId="0" applyNumberFormat="1" applyFont="1" applyFill="1" applyBorder="1" applyAlignment="1">
      <alignment horizontal="center"/>
    </xf>
    <xf numFmtId="0" fontId="0" fillId="5" borderId="1" xfId="0" applyFill="1" applyBorder="1" applyAlignment="1"/>
    <xf numFmtId="0" fontId="0" fillId="0" borderId="1" xfId="0" applyBorder="1" applyAlignment="1">
      <alignment wrapText="1"/>
    </xf>
    <xf numFmtId="0" fontId="0" fillId="0" borderId="1" xfId="0" applyBorder="1"/>
  </cellXfs>
  <cellStyles count="2">
    <cellStyle name="Normal" xfId="0" builtinId="0"/>
    <cellStyle name="Standaard_Testcases klanten" xfId="1"/>
  </cellStyles>
  <dxfs count="24">
    <dxf>
      <font>
        <color rgb="FF00B050"/>
      </font>
      <fill>
        <patternFill>
          <bgColor theme="6" tint="0.59996337778862885"/>
        </patternFill>
      </fill>
    </dxf>
    <dxf>
      <font>
        <color rgb="FFFF0000"/>
      </font>
      <fill>
        <patternFill>
          <bgColor theme="9" tint="0.59996337778862885"/>
        </patternFill>
      </fill>
    </dxf>
    <dxf>
      <fill>
        <patternFill>
          <bgColor theme="0" tint="-0.14996795556505021"/>
        </patternFill>
      </fill>
    </dxf>
    <dxf>
      <font>
        <color rgb="FF00B050"/>
      </font>
      <fill>
        <patternFill>
          <bgColor theme="6" tint="0.59996337778862885"/>
        </patternFill>
      </fill>
    </dxf>
    <dxf>
      <font>
        <color rgb="FFFF0000"/>
      </font>
      <fill>
        <patternFill>
          <bgColor theme="9" tint="0.59996337778862885"/>
        </patternFill>
      </fill>
    </dxf>
    <dxf>
      <fill>
        <patternFill>
          <bgColor theme="0" tint="-0.14996795556505021"/>
        </patternFill>
      </fill>
    </dxf>
    <dxf>
      <font>
        <color rgb="FF00B050"/>
      </font>
      <fill>
        <patternFill>
          <bgColor theme="6" tint="0.59996337778862885"/>
        </patternFill>
      </fill>
    </dxf>
    <dxf>
      <font>
        <color rgb="FFFF0000"/>
      </font>
      <fill>
        <patternFill>
          <bgColor theme="9" tint="0.59996337778862885"/>
        </patternFill>
      </fill>
    </dxf>
    <dxf>
      <fill>
        <patternFill>
          <bgColor theme="0" tint="-0.14996795556505021"/>
        </patternFill>
      </fill>
    </dxf>
    <dxf>
      <font>
        <color rgb="FF00B050"/>
      </font>
      <fill>
        <patternFill>
          <bgColor theme="6" tint="0.59996337778862885"/>
        </patternFill>
      </fill>
    </dxf>
    <dxf>
      <font>
        <color rgb="FFFF0000"/>
      </font>
      <fill>
        <patternFill>
          <bgColor theme="9" tint="0.59996337778862885"/>
        </patternFill>
      </fill>
    </dxf>
    <dxf>
      <fill>
        <patternFill>
          <bgColor theme="0" tint="-0.14996795556505021"/>
        </patternFill>
      </fill>
    </dxf>
    <dxf>
      <font>
        <color rgb="FF00B050"/>
      </font>
      <fill>
        <patternFill>
          <bgColor theme="6" tint="0.59996337778862885"/>
        </patternFill>
      </fill>
    </dxf>
    <dxf>
      <font>
        <color rgb="FFFF0000"/>
      </font>
      <fill>
        <patternFill>
          <bgColor theme="9" tint="0.59996337778862885"/>
        </patternFill>
      </fill>
    </dxf>
    <dxf>
      <fill>
        <patternFill>
          <bgColor theme="0" tint="-0.14996795556505021"/>
        </patternFill>
      </fill>
    </dxf>
    <dxf>
      <font>
        <color rgb="FF00B050"/>
      </font>
      <fill>
        <patternFill>
          <bgColor theme="6" tint="0.59996337778862885"/>
        </patternFill>
      </fill>
    </dxf>
    <dxf>
      <font>
        <color rgb="FFFF0000"/>
      </font>
      <fill>
        <patternFill>
          <bgColor theme="9" tint="0.59996337778862885"/>
        </patternFill>
      </fill>
    </dxf>
    <dxf>
      <fill>
        <patternFill>
          <bgColor theme="0" tint="-0.14996795556505021"/>
        </patternFill>
      </fill>
    </dxf>
    <dxf>
      <font>
        <color rgb="FF00B050"/>
      </font>
      <fill>
        <patternFill>
          <bgColor theme="6" tint="0.59996337778862885"/>
        </patternFill>
      </fill>
    </dxf>
    <dxf>
      <font>
        <color rgb="FFFF0000"/>
      </font>
      <fill>
        <patternFill>
          <bgColor theme="9" tint="0.59996337778862885"/>
        </patternFill>
      </fill>
    </dxf>
    <dxf>
      <fill>
        <patternFill>
          <bgColor theme="0" tint="-0.14996795556505021"/>
        </patternFill>
      </fill>
    </dxf>
    <dxf>
      <font>
        <color rgb="FF00B050"/>
      </font>
      <fill>
        <patternFill>
          <bgColor theme="6" tint="0.59996337778862885"/>
        </patternFill>
      </fill>
    </dxf>
    <dxf>
      <font>
        <color rgb="FFFF0000"/>
      </font>
      <fill>
        <patternFill>
          <bgColor theme="9" tint="0.59996337778862885"/>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17"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26</xdr:col>
          <xdr:colOff>219075</xdr:colOff>
          <xdr:row>5</xdr:row>
          <xdr:rowOff>152400</xdr:rowOff>
        </xdr:from>
        <xdr:to>
          <xdr:col>29</xdr:col>
          <xdr:colOff>209550</xdr:colOff>
          <xdr:row>8</xdr:row>
          <xdr:rowOff>57150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171450</xdr:colOff>
          <xdr:row>5</xdr:row>
          <xdr:rowOff>123825</xdr:rowOff>
        </xdr:from>
        <xdr:to>
          <xdr:col>33</xdr:col>
          <xdr:colOff>285750</xdr:colOff>
          <xdr:row>8</xdr:row>
          <xdr:rowOff>0</xdr:rowOff>
        </xdr:to>
        <xdr:sp macro="" textlink="">
          <xdr:nvSpPr>
            <xdr:cNvPr id="2057" name="CommandButton2" hidden="1">
              <a:extLst>
                <a:ext uri="{63B3BB69-23CF-44E3-9099-C40C66FF867C}">
                  <a14:compatExt spid="_x0000_s20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76200</xdr:colOff>
          <xdr:row>2</xdr:row>
          <xdr:rowOff>19050</xdr:rowOff>
        </xdr:from>
        <xdr:to>
          <xdr:col>29</xdr:col>
          <xdr:colOff>152400</xdr:colOff>
          <xdr:row>4</xdr:row>
          <xdr:rowOff>171450</xdr:rowOff>
        </xdr:to>
        <xdr:sp macro="" textlink="">
          <xdr:nvSpPr>
            <xdr:cNvPr id="2058" name="CommandButton3" hidden="1">
              <a:extLst>
                <a:ext uri="{63B3BB69-23CF-44E3-9099-C40C66FF867C}">
                  <a14:compatExt spid="_x0000_s20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228600</xdr:colOff>
          <xdr:row>1</xdr:row>
          <xdr:rowOff>200025</xdr:rowOff>
        </xdr:from>
        <xdr:to>
          <xdr:col>33</xdr:col>
          <xdr:colOff>104775</xdr:colOff>
          <xdr:row>5</xdr:row>
          <xdr:rowOff>47625</xdr:rowOff>
        </xdr:to>
        <xdr:sp macro="" textlink="">
          <xdr:nvSpPr>
            <xdr:cNvPr id="2059" name="CommandButton4" hidden="1">
              <a:extLst>
                <a:ext uri="{63B3BB69-23CF-44E3-9099-C40C66FF867C}">
                  <a14:compatExt spid="_x0000_s2059"/>
                </a:ext>
              </a:extLst>
            </xdr:cNvPr>
            <xdr:cNvSpPr/>
          </xdr:nvSpPr>
          <xdr:spPr>
            <a:xfrm>
              <a:off x="0" y="0"/>
              <a:ext cx="0" cy="0"/>
            </a:xfrm>
            <a:prstGeom prst="rect">
              <a:avLst/>
            </a:prstGeom>
          </xdr:spPr>
        </xdr:sp>
        <xdr:clientData/>
      </xdr:twoCellAnchor>
    </mc:Choice>
    <mc:Fallback/>
  </mc:AlternateContent>
</xdr:wsDr>
</file>

<file path=xl/tables/table1.xml><?xml version="1.0" encoding="utf-8"?>
<table xmlns="http://schemas.openxmlformats.org/spreadsheetml/2006/main" id="2" name="Table6" displayName="Table6" ref="Z1:Z26" totalsRowShown="0">
  <autoFilter ref="Z1:Z26"/>
  <tableColumns count="1">
    <tableColumn id="1" name="Column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12" Type="http://schemas.openxmlformats.org/officeDocument/2006/relationships/image" Target="../media/image4.emf"/><Relationship Id="rId2" Type="http://schemas.openxmlformats.org/officeDocument/2006/relationships/hyperlink" Target="mailto:TestCaseID@" TargetMode="External"/><Relationship Id="rId1" Type="http://schemas.openxmlformats.org/officeDocument/2006/relationships/hyperlink" Target="mailto:D@15" TargetMode="External"/><Relationship Id="rId6" Type="http://schemas.openxmlformats.org/officeDocument/2006/relationships/image" Target="../media/image1.emf"/><Relationship Id="rId11" Type="http://schemas.openxmlformats.org/officeDocument/2006/relationships/control" Target="../activeX/activeX4.xml"/><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1" Type="http://schemas.openxmlformats.org/officeDocument/2006/relationships/hyperlink" Target="mailto:TestCaseID@" TargetMode="External"/></Relationships>
</file>

<file path=xl/worksheets/_rels/sheet4.xml.rels><?xml version="1.0" encoding="UTF-8" standalone="yes"?>
<Relationships xmlns="http://schemas.openxmlformats.org/package/2006/relationships"><Relationship Id="rId1" Type="http://schemas.openxmlformats.org/officeDocument/2006/relationships/hyperlink" Target="mailto:TestCaseID@" TargetMode="External"/></Relationships>
</file>

<file path=xl/worksheets/_rels/sheet5.xml.rels><?xml version="1.0" encoding="UTF-8" standalone="yes"?>
<Relationships xmlns="http://schemas.openxmlformats.org/package/2006/relationships"><Relationship Id="rId1" Type="http://schemas.openxmlformats.org/officeDocument/2006/relationships/hyperlink" Target="mailto:TestCaseID@" TargetMode="External"/></Relationships>
</file>

<file path=xl/worksheets/_rels/sheet6.xml.rels><?xml version="1.0" encoding="UTF-8" standalone="yes"?>
<Relationships xmlns="http://schemas.openxmlformats.org/package/2006/relationships"><Relationship Id="rId2" Type="http://schemas.openxmlformats.org/officeDocument/2006/relationships/hyperlink" Target="mailto:D@18:00" TargetMode="External"/><Relationship Id="rId1" Type="http://schemas.openxmlformats.org/officeDocument/2006/relationships/hyperlink" Target="mailto:D@18:00" TargetMode="Externa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tint="-0.499984740745262"/>
  </sheetPr>
  <dimension ref="A1:Z7"/>
  <sheetViews>
    <sheetView showGridLines="0" tabSelected="1" zoomScale="80" zoomScaleNormal="80" workbookViewId="0">
      <selection activeCell="D2" sqref="D2"/>
    </sheetView>
  </sheetViews>
  <sheetFormatPr defaultRowHeight="15" x14ac:dyDescent="0.25"/>
  <cols>
    <col min="1" max="1" width="5.5703125" bestFit="1" customWidth="1"/>
    <col min="2" max="2" width="43.140625" bestFit="1" customWidth="1"/>
    <col min="3" max="3" width="41.85546875" bestFit="1" customWidth="1"/>
    <col min="4" max="4" width="16.85546875" customWidth="1"/>
    <col min="5" max="5" width="11.42578125" customWidth="1"/>
    <col min="6" max="6" width="5.28515625" customWidth="1"/>
    <col min="7" max="7" width="4.140625" customWidth="1"/>
    <col min="8" max="15" width="3.140625" bestFit="1" customWidth="1"/>
    <col min="16" max="25" width="4.140625" bestFit="1" customWidth="1"/>
    <col min="26" max="26" width="4.5703125" bestFit="1" customWidth="1"/>
  </cols>
  <sheetData>
    <row r="1" spans="1:26" x14ac:dyDescent="0.25">
      <c r="A1" s="13" t="s">
        <v>554</v>
      </c>
      <c r="B1" s="13" t="s">
        <v>505</v>
      </c>
      <c r="C1" s="13" t="s">
        <v>506</v>
      </c>
      <c r="D1" s="13" t="s">
        <v>507</v>
      </c>
      <c r="E1" s="13" t="s">
        <v>508</v>
      </c>
      <c r="F1" s="13" t="s">
        <v>484</v>
      </c>
      <c r="G1" s="13" t="s">
        <v>485</v>
      </c>
      <c r="H1" s="13" t="s">
        <v>489</v>
      </c>
      <c r="I1" s="13" t="s">
        <v>488</v>
      </c>
      <c r="J1" s="13" t="s">
        <v>487</v>
      </c>
      <c r="K1" s="13" t="s">
        <v>486</v>
      </c>
      <c r="L1" s="13" t="s">
        <v>490</v>
      </c>
      <c r="M1" s="13" t="s">
        <v>491</v>
      </c>
      <c r="N1" s="13" t="s">
        <v>492</v>
      </c>
      <c r="O1" s="13" t="s">
        <v>493</v>
      </c>
      <c r="P1" s="13" t="s">
        <v>494</v>
      </c>
      <c r="Q1" s="13" t="s">
        <v>495</v>
      </c>
      <c r="R1" s="13" t="s">
        <v>496</v>
      </c>
      <c r="S1" s="13" t="s">
        <v>497</v>
      </c>
      <c r="T1" s="13" t="s">
        <v>498</v>
      </c>
      <c r="U1" s="13" t="s">
        <v>499</v>
      </c>
      <c r="V1" s="13" t="s">
        <v>500</v>
      </c>
      <c r="W1" s="13" t="s">
        <v>501</v>
      </c>
      <c r="X1" s="13" t="s">
        <v>502</v>
      </c>
      <c r="Y1" s="13" t="s">
        <v>503</v>
      </c>
      <c r="Z1" s="13" t="s">
        <v>504</v>
      </c>
    </row>
    <row r="2" spans="1:26" ht="16.5" x14ac:dyDescent="0.35">
      <c r="A2" s="7">
        <v>1</v>
      </c>
      <c r="B2" s="7" t="s">
        <v>557</v>
      </c>
      <c r="C2" s="7" t="s">
        <v>1</v>
      </c>
      <c r="D2" s="7" t="s">
        <v>2</v>
      </c>
      <c r="E2" s="7"/>
      <c r="F2" s="10" t="s">
        <v>584</v>
      </c>
      <c r="G2" s="10" t="s">
        <v>582</v>
      </c>
      <c r="H2" s="10" t="s">
        <v>3</v>
      </c>
      <c r="I2" s="10" t="s">
        <v>3</v>
      </c>
      <c r="J2" s="10" t="s">
        <v>3</v>
      </c>
      <c r="K2" s="10" t="s">
        <v>3</v>
      </c>
      <c r="L2" s="10" t="s">
        <v>3</v>
      </c>
      <c r="M2" s="10" t="s">
        <v>3</v>
      </c>
      <c r="N2" s="10" t="s">
        <v>3</v>
      </c>
      <c r="O2" s="10" t="s">
        <v>3</v>
      </c>
      <c r="P2" s="10" t="s">
        <v>3</v>
      </c>
      <c r="Q2" s="10" t="s">
        <v>3</v>
      </c>
      <c r="R2" s="10" t="s">
        <v>3</v>
      </c>
      <c r="S2" s="10" t="s">
        <v>3</v>
      </c>
      <c r="T2" s="10" t="s">
        <v>3</v>
      </c>
      <c r="U2" s="10" t="s">
        <v>3</v>
      </c>
      <c r="V2" s="10" t="s">
        <v>3</v>
      </c>
      <c r="W2" s="10" t="s">
        <v>3</v>
      </c>
      <c r="X2" s="10" t="s">
        <v>3</v>
      </c>
      <c r="Y2" s="10" t="s">
        <v>3</v>
      </c>
      <c r="Z2" s="10" t="s">
        <v>3</v>
      </c>
    </row>
    <row r="3" spans="1:26" ht="16.5" x14ac:dyDescent="0.35">
      <c r="A3" s="16"/>
      <c r="B3" s="16"/>
      <c r="C3" s="16"/>
      <c r="D3" s="16"/>
      <c r="E3" s="16"/>
      <c r="F3" s="10"/>
      <c r="G3" s="10"/>
      <c r="H3" s="10"/>
      <c r="I3" s="10"/>
      <c r="J3" s="10"/>
      <c r="K3" s="10"/>
      <c r="L3" s="10"/>
      <c r="M3" s="10"/>
      <c r="N3" s="10"/>
      <c r="O3" s="10"/>
      <c r="P3" s="10"/>
      <c r="Q3" s="10"/>
      <c r="R3" s="10"/>
      <c r="S3" s="10"/>
      <c r="T3" s="10"/>
      <c r="U3" s="10"/>
      <c r="V3" s="10"/>
      <c r="W3" s="10"/>
      <c r="X3" s="10"/>
      <c r="Y3" s="10"/>
      <c r="Z3" s="10"/>
    </row>
    <row r="4" spans="1:26" ht="16.5" x14ac:dyDescent="0.35">
      <c r="A4" s="16"/>
      <c r="B4" s="16"/>
      <c r="C4" s="16"/>
      <c r="D4" s="16"/>
      <c r="E4" s="7"/>
      <c r="F4" s="10"/>
      <c r="G4" s="10"/>
      <c r="H4" s="10"/>
      <c r="I4" s="10"/>
      <c r="J4" s="10"/>
      <c r="K4" s="10"/>
      <c r="L4" s="10"/>
      <c r="M4" s="10"/>
      <c r="N4" s="10"/>
      <c r="O4" s="10"/>
      <c r="P4" s="10"/>
      <c r="Q4" s="10"/>
      <c r="R4" s="10"/>
      <c r="S4" s="10"/>
      <c r="T4" s="10"/>
      <c r="U4" s="10"/>
      <c r="V4" s="10"/>
      <c r="W4" s="10"/>
      <c r="X4" s="10"/>
      <c r="Y4" s="10"/>
      <c r="Z4" s="10"/>
    </row>
    <row r="5" spans="1:26" ht="16.5" x14ac:dyDescent="0.35">
      <c r="A5" s="16"/>
      <c r="B5" s="16"/>
      <c r="C5" s="16"/>
      <c r="D5" s="16"/>
      <c r="E5" s="7"/>
      <c r="F5" s="10"/>
      <c r="G5" s="10"/>
      <c r="H5" s="10"/>
      <c r="I5" s="10"/>
      <c r="J5" s="10"/>
      <c r="K5" s="10"/>
      <c r="L5" s="10"/>
      <c r="M5" s="10"/>
      <c r="N5" s="10"/>
      <c r="O5" s="10"/>
      <c r="P5" s="10"/>
      <c r="Q5" s="10"/>
      <c r="R5" s="10"/>
      <c r="S5" s="10"/>
      <c r="T5" s="10"/>
      <c r="U5" s="10"/>
      <c r="V5" s="10"/>
      <c r="W5" s="10"/>
      <c r="X5" s="10"/>
      <c r="Y5" s="10"/>
      <c r="Z5" s="10"/>
    </row>
    <row r="6" spans="1:26" ht="16.5" x14ac:dyDescent="0.35">
      <c r="A6" s="16"/>
      <c r="B6" s="16"/>
      <c r="C6" s="16"/>
      <c r="D6" s="16"/>
      <c r="E6" s="7"/>
      <c r="F6" s="10"/>
      <c r="G6" s="10"/>
      <c r="H6" s="10"/>
      <c r="I6" s="10"/>
      <c r="J6" s="10"/>
      <c r="K6" s="10"/>
      <c r="L6" s="10"/>
      <c r="M6" s="10"/>
      <c r="N6" s="10"/>
      <c r="O6" s="10"/>
      <c r="P6" s="10"/>
      <c r="Q6" s="10"/>
      <c r="R6" s="10"/>
      <c r="S6" s="10"/>
      <c r="T6" s="10"/>
      <c r="U6" s="10"/>
      <c r="V6" s="10"/>
      <c r="W6" s="10"/>
      <c r="X6" s="10"/>
      <c r="Y6" s="10"/>
      <c r="Z6" s="10"/>
    </row>
    <row r="7" spans="1:26" ht="16.5" x14ac:dyDescent="0.35">
      <c r="A7" s="16"/>
      <c r="B7" s="16"/>
      <c r="C7" s="16"/>
      <c r="D7" s="16"/>
      <c r="E7" s="7"/>
      <c r="F7" s="10"/>
      <c r="G7" s="10"/>
      <c r="H7" s="10"/>
      <c r="I7" s="10"/>
      <c r="J7" s="10"/>
      <c r="K7" s="10"/>
      <c r="L7" s="10"/>
      <c r="M7" s="10"/>
      <c r="N7" s="10"/>
      <c r="O7" s="10"/>
      <c r="P7" s="10"/>
      <c r="Q7" s="10"/>
      <c r="R7" s="10"/>
      <c r="S7" s="10"/>
      <c r="T7" s="10"/>
      <c r="U7" s="10"/>
      <c r="V7" s="10"/>
      <c r="W7" s="10"/>
      <c r="X7" s="10"/>
      <c r="Y7" s="10"/>
      <c r="Z7" s="10"/>
    </row>
  </sheetData>
  <dataConsolidate/>
  <conditionalFormatting sqref="E2:Z2 F5:Z7">
    <cfRule type="cellIs" dxfId="23" priority="19477" operator="equal">
      <formula>"NA"</formula>
    </cfRule>
    <cfRule type="cellIs" dxfId="22" priority="19478" operator="equal">
      <formula>"OFF"</formula>
    </cfRule>
    <cfRule type="cellIs" dxfId="21" priority="19479" operator="equal">
      <formula>"ON"</formula>
    </cfRule>
  </conditionalFormatting>
  <conditionalFormatting sqref="F6:Z6">
    <cfRule type="cellIs" dxfId="20" priority="19" operator="equal">
      <formula>"NA"</formula>
    </cfRule>
    <cfRule type="cellIs" dxfId="19" priority="20" operator="equal">
      <formula>"OFF"</formula>
    </cfRule>
    <cfRule type="cellIs" dxfId="18" priority="21" operator="equal">
      <formula>"ON"</formula>
    </cfRule>
  </conditionalFormatting>
  <conditionalFormatting sqref="F7:Z7">
    <cfRule type="cellIs" dxfId="17" priority="16" operator="equal">
      <formula>"NA"</formula>
    </cfRule>
    <cfRule type="cellIs" dxfId="16" priority="17" operator="equal">
      <formula>"OFF"</formula>
    </cfRule>
    <cfRule type="cellIs" dxfId="15" priority="18" operator="equal">
      <formula>"ON"</formula>
    </cfRule>
  </conditionalFormatting>
  <conditionalFormatting sqref="E5:Z5 F6:Z7">
    <cfRule type="cellIs" dxfId="14" priority="22" operator="equal">
      <formula>"NA"</formula>
    </cfRule>
    <cfRule type="cellIs" dxfId="13" priority="23" operator="equal">
      <formula>"OFF"</formula>
    </cfRule>
    <cfRule type="cellIs" dxfId="12" priority="24" operator="equal">
      <formula>"ON"</formula>
    </cfRule>
  </conditionalFormatting>
  <conditionalFormatting sqref="F7:Z7">
    <cfRule type="cellIs" dxfId="11" priority="13" operator="equal">
      <formula>"NA"</formula>
    </cfRule>
    <cfRule type="cellIs" dxfId="10" priority="14" operator="equal">
      <formula>"OFF"</formula>
    </cfRule>
    <cfRule type="cellIs" dxfId="9" priority="15" operator="equal">
      <formula>"ON"</formula>
    </cfRule>
  </conditionalFormatting>
  <conditionalFormatting sqref="E3">
    <cfRule type="cellIs" dxfId="8" priority="10" operator="equal">
      <formula>"NA"</formula>
    </cfRule>
    <cfRule type="cellIs" dxfId="7" priority="11" operator="equal">
      <formula>"OFF"</formula>
    </cfRule>
    <cfRule type="cellIs" dxfId="6" priority="12" operator="equal">
      <formula>"ON"</formula>
    </cfRule>
  </conditionalFormatting>
  <conditionalFormatting sqref="F3:Z3">
    <cfRule type="cellIs" dxfId="5" priority="4" operator="equal">
      <formula>"NA"</formula>
    </cfRule>
    <cfRule type="cellIs" dxfId="4" priority="5" operator="equal">
      <formula>"OFF"</formula>
    </cfRule>
    <cfRule type="cellIs" dxfId="3" priority="6" operator="equal">
      <formula>"ON"</formula>
    </cfRule>
  </conditionalFormatting>
  <conditionalFormatting sqref="F4:Z4">
    <cfRule type="cellIs" dxfId="2" priority="1" operator="equal">
      <formula>"NA"</formula>
    </cfRule>
    <cfRule type="cellIs" dxfId="1" priority="2" operator="equal">
      <formula>"OFF"</formula>
    </cfRule>
    <cfRule type="cellIs" dxfId="0" priority="3" operator="equal">
      <formula>"ON"</formula>
    </cfRule>
  </conditionalFormatting>
  <dataValidations count="2">
    <dataValidation type="list" allowBlank="1" showInputMessage="1" showErrorMessage="1" errorTitle="Invalid Input" error="Value must be 'ON' or 'OFF'" sqref="F2:Z7">
      <formula1>"ON,OFF,NA"</formula1>
    </dataValidation>
    <dataValidation type="list" allowBlank="1" showInputMessage="1" showErrorMessage="1" sqref="D2:D7">
      <formula1>Env</formula1>
    </dataValidation>
  </dataValidations>
  <hyperlinks>
    <hyperlink ref="U1" r:id="rId1" display="D@15"/>
    <hyperlink ref="B1" r:id="rId2" display="TestCaseID@"/>
  </hyperlinks>
  <pageMargins left="0.7" right="0.7" top="0.75" bottom="0.75" header="0.3" footer="0.3"/>
  <pageSetup orientation="portrait"/>
  <drawing r:id="rId3"/>
  <legacyDrawing r:id="rId4"/>
  <controls>
    <mc:AlternateContent xmlns:mc="http://schemas.openxmlformats.org/markup-compatibility/2006">
      <mc:Choice Requires="x14">
        <control shapeId="2059" r:id="rId5" name="CommandButton4">
          <controlPr defaultSize="0" autoLine="0" autoPict="0" r:id="rId6">
            <anchor>
              <from>
                <xdr:col>30</xdr:col>
                <xdr:colOff>228600</xdr:colOff>
                <xdr:row>1</xdr:row>
                <xdr:rowOff>200025</xdr:rowOff>
              </from>
              <to>
                <xdr:col>33</xdr:col>
                <xdr:colOff>104775</xdr:colOff>
                <xdr:row>5</xdr:row>
                <xdr:rowOff>47625</xdr:rowOff>
              </to>
            </anchor>
          </controlPr>
        </control>
      </mc:Choice>
      <mc:Fallback>
        <control shapeId="2059" r:id="rId5" name="CommandButton4"/>
      </mc:Fallback>
    </mc:AlternateContent>
    <mc:AlternateContent xmlns:mc="http://schemas.openxmlformats.org/markup-compatibility/2006">
      <mc:Choice Requires="x14">
        <control shapeId="2058" r:id="rId7" name="CommandButton3">
          <controlPr defaultSize="0" autoLine="0" autoPict="0" r:id="rId8">
            <anchor>
              <from>
                <xdr:col>26</xdr:col>
                <xdr:colOff>76200</xdr:colOff>
                <xdr:row>2</xdr:row>
                <xdr:rowOff>19050</xdr:rowOff>
              </from>
              <to>
                <xdr:col>29</xdr:col>
                <xdr:colOff>152400</xdr:colOff>
                <xdr:row>4</xdr:row>
                <xdr:rowOff>171450</xdr:rowOff>
              </to>
            </anchor>
          </controlPr>
        </control>
      </mc:Choice>
      <mc:Fallback>
        <control shapeId="2058" r:id="rId7" name="CommandButton3"/>
      </mc:Fallback>
    </mc:AlternateContent>
    <mc:AlternateContent xmlns:mc="http://schemas.openxmlformats.org/markup-compatibility/2006">
      <mc:Choice Requires="x14">
        <control shapeId="2057" r:id="rId9" name="CommandButton2">
          <controlPr defaultSize="0" autoLine="0" autoPict="0" r:id="rId10">
            <anchor>
              <from>
                <xdr:col>30</xdr:col>
                <xdr:colOff>171450</xdr:colOff>
                <xdr:row>5</xdr:row>
                <xdr:rowOff>123825</xdr:rowOff>
              </from>
              <to>
                <xdr:col>33</xdr:col>
                <xdr:colOff>285750</xdr:colOff>
                <xdr:row>8</xdr:row>
                <xdr:rowOff>0</xdr:rowOff>
              </to>
            </anchor>
          </controlPr>
        </control>
      </mc:Choice>
      <mc:Fallback>
        <control shapeId="2057" r:id="rId9" name="CommandButton2"/>
      </mc:Fallback>
    </mc:AlternateContent>
    <mc:AlternateContent xmlns:mc="http://schemas.openxmlformats.org/markup-compatibility/2006">
      <mc:Choice Requires="x14">
        <control shapeId="2049" r:id="rId11" name="CommandButton1">
          <controlPr defaultSize="0" autoLine="0" autoPict="0" r:id="rId12">
            <anchor>
              <from>
                <xdr:col>26</xdr:col>
                <xdr:colOff>219075</xdr:colOff>
                <xdr:row>5</xdr:row>
                <xdr:rowOff>152400</xdr:rowOff>
              </from>
              <to>
                <xdr:col>29</xdr:col>
                <xdr:colOff>209550</xdr:colOff>
                <xdr:row>8</xdr:row>
                <xdr:rowOff>57150</xdr:rowOff>
              </to>
            </anchor>
          </controlPr>
        </control>
      </mc:Choice>
      <mc:Fallback>
        <control shapeId="2049" r:id="rId11"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3" tint="-0.249977111117893"/>
  </sheetPr>
  <dimension ref="A1:V7"/>
  <sheetViews>
    <sheetView workbookViewId="0">
      <selection activeCell="D14" sqref="D14"/>
    </sheetView>
  </sheetViews>
  <sheetFormatPr defaultRowHeight="15" x14ac:dyDescent="0.25"/>
  <cols>
    <col min="1" max="1" width="6.140625" bestFit="1" customWidth="1"/>
    <col min="2" max="2" width="42.7109375" bestFit="1" customWidth="1"/>
    <col min="3" max="3" width="10.7109375" bestFit="1" customWidth="1"/>
    <col min="4" max="4" width="44.28515625" bestFit="1" customWidth="1"/>
    <col min="5" max="5" width="29" bestFit="1" customWidth="1"/>
    <col min="6" max="6" width="26" bestFit="1" customWidth="1"/>
    <col min="7" max="7" width="26.5703125" bestFit="1" customWidth="1"/>
    <col min="8" max="8" width="18.85546875" bestFit="1" customWidth="1"/>
    <col min="9" max="9" width="22" bestFit="1" customWidth="1"/>
    <col min="10" max="10" width="18.7109375" bestFit="1" customWidth="1"/>
    <col min="11" max="11" width="16.5703125" bestFit="1" customWidth="1"/>
    <col min="12" max="12" width="12.5703125" bestFit="1" customWidth="1"/>
    <col min="13" max="13" width="13.85546875" bestFit="1" customWidth="1"/>
    <col min="14" max="14" width="13.7109375" bestFit="1" customWidth="1"/>
    <col min="15" max="15" width="17.42578125" bestFit="1" customWidth="1"/>
    <col min="16" max="16" width="13.7109375" bestFit="1" customWidth="1"/>
    <col min="17" max="17" width="21.140625" bestFit="1" customWidth="1"/>
    <col min="18" max="18" width="17.42578125" bestFit="1" customWidth="1"/>
    <col min="19" max="19" width="15.28515625" bestFit="1" customWidth="1"/>
    <col min="20" max="21" width="13.7109375" bestFit="1" customWidth="1"/>
    <col min="22" max="22" width="20.7109375" customWidth="1"/>
    <col min="257" max="257" width="6.42578125" bestFit="1" customWidth="1"/>
    <col min="258" max="258" width="65.7109375" customWidth="1"/>
    <col min="259" max="259" width="5.28515625" bestFit="1" customWidth="1"/>
    <col min="260" max="260" width="23.85546875" customWidth="1"/>
    <col min="261" max="261" width="29" bestFit="1" customWidth="1"/>
    <col min="262" max="262" width="26" bestFit="1" customWidth="1"/>
    <col min="263" max="263" width="26.5703125" bestFit="1" customWidth="1"/>
    <col min="264" max="264" width="16.28515625" customWidth="1"/>
    <col min="265" max="265" width="29.5703125" customWidth="1"/>
    <col min="266" max="266" width="21.85546875" customWidth="1"/>
    <col min="267" max="267" width="30" bestFit="1" customWidth="1"/>
    <col min="268" max="268" width="23.5703125" bestFit="1" customWidth="1"/>
    <col min="269" max="269" width="13.85546875" bestFit="1" customWidth="1"/>
    <col min="270" max="270" width="14.42578125" bestFit="1" customWidth="1"/>
    <col min="513" max="513" width="6.42578125" bestFit="1" customWidth="1"/>
    <col min="514" max="514" width="65.7109375" customWidth="1"/>
    <col min="515" max="515" width="5.28515625" bestFit="1" customWidth="1"/>
    <col min="516" max="516" width="23.85546875" customWidth="1"/>
    <col min="517" max="517" width="29" bestFit="1" customWidth="1"/>
    <col min="518" max="518" width="26" bestFit="1" customWidth="1"/>
    <col min="519" max="519" width="26.5703125" bestFit="1" customWidth="1"/>
    <col min="520" max="520" width="16.28515625" customWidth="1"/>
    <col min="521" max="521" width="29.5703125" customWidth="1"/>
    <col min="522" max="522" width="21.85546875" customWidth="1"/>
    <col min="523" max="523" width="30" bestFit="1" customWidth="1"/>
    <col min="524" max="524" width="23.5703125" bestFit="1" customWidth="1"/>
    <col min="525" max="525" width="13.85546875" bestFit="1" customWidth="1"/>
    <col min="526" max="526" width="14.42578125" bestFit="1" customWidth="1"/>
    <col min="769" max="769" width="6.42578125" bestFit="1" customWidth="1"/>
    <col min="770" max="770" width="65.7109375" customWidth="1"/>
    <col min="771" max="771" width="5.28515625" bestFit="1" customWidth="1"/>
    <col min="772" max="772" width="23.85546875" customWidth="1"/>
    <col min="773" max="773" width="29" bestFit="1" customWidth="1"/>
    <col min="774" max="774" width="26" bestFit="1" customWidth="1"/>
    <col min="775" max="775" width="26.5703125" bestFit="1" customWidth="1"/>
    <col min="776" max="776" width="16.28515625" customWidth="1"/>
    <col min="777" max="777" width="29.5703125" customWidth="1"/>
    <col min="778" max="778" width="21.85546875" customWidth="1"/>
    <col min="779" max="779" width="30" bestFit="1" customWidth="1"/>
    <col min="780" max="780" width="23.5703125" bestFit="1" customWidth="1"/>
    <col min="781" max="781" width="13.85546875" bestFit="1" customWidth="1"/>
    <col min="782" max="782" width="14.42578125" bestFit="1" customWidth="1"/>
    <col min="1025" max="1025" width="6.42578125" bestFit="1" customWidth="1"/>
    <col min="1026" max="1026" width="65.7109375" customWidth="1"/>
    <col min="1027" max="1027" width="5.28515625" bestFit="1" customWidth="1"/>
    <col min="1028" max="1028" width="23.85546875" customWidth="1"/>
    <col min="1029" max="1029" width="29" bestFit="1" customWidth="1"/>
    <col min="1030" max="1030" width="26" bestFit="1" customWidth="1"/>
    <col min="1031" max="1031" width="26.5703125" bestFit="1" customWidth="1"/>
    <col min="1032" max="1032" width="16.28515625" customWidth="1"/>
    <col min="1033" max="1033" width="29.5703125" customWidth="1"/>
    <col min="1034" max="1034" width="21.85546875" customWidth="1"/>
    <col min="1035" max="1035" width="30" bestFit="1" customWidth="1"/>
    <col min="1036" max="1036" width="23.5703125" bestFit="1" customWidth="1"/>
    <col min="1037" max="1037" width="13.85546875" bestFit="1" customWidth="1"/>
    <col min="1038" max="1038" width="14.42578125" bestFit="1" customWidth="1"/>
    <col min="1281" max="1281" width="6.42578125" bestFit="1" customWidth="1"/>
    <col min="1282" max="1282" width="65.7109375" customWidth="1"/>
    <col min="1283" max="1283" width="5.28515625" bestFit="1" customWidth="1"/>
    <col min="1284" max="1284" width="23.85546875" customWidth="1"/>
    <col min="1285" max="1285" width="29" bestFit="1" customWidth="1"/>
    <col min="1286" max="1286" width="26" bestFit="1" customWidth="1"/>
    <col min="1287" max="1287" width="26.5703125" bestFit="1" customWidth="1"/>
    <col min="1288" max="1288" width="16.28515625" customWidth="1"/>
    <col min="1289" max="1289" width="29.5703125" customWidth="1"/>
    <col min="1290" max="1290" width="21.85546875" customWidth="1"/>
    <col min="1291" max="1291" width="30" bestFit="1" customWidth="1"/>
    <col min="1292" max="1292" width="23.5703125" bestFit="1" customWidth="1"/>
    <col min="1293" max="1293" width="13.85546875" bestFit="1" customWidth="1"/>
    <col min="1294" max="1294" width="14.42578125" bestFit="1" customWidth="1"/>
    <col min="1537" max="1537" width="6.42578125" bestFit="1" customWidth="1"/>
    <col min="1538" max="1538" width="65.7109375" customWidth="1"/>
    <col min="1539" max="1539" width="5.28515625" bestFit="1" customWidth="1"/>
    <col min="1540" max="1540" width="23.85546875" customWidth="1"/>
    <col min="1541" max="1541" width="29" bestFit="1" customWidth="1"/>
    <col min="1542" max="1542" width="26" bestFit="1" customWidth="1"/>
    <col min="1543" max="1543" width="26.5703125" bestFit="1" customWidth="1"/>
    <col min="1544" max="1544" width="16.28515625" customWidth="1"/>
    <col min="1545" max="1545" width="29.5703125" customWidth="1"/>
    <col min="1546" max="1546" width="21.85546875" customWidth="1"/>
    <col min="1547" max="1547" width="30" bestFit="1" customWidth="1"/>
    <col min="1548" max="1548" width="23.5703125" bestFit="1" customWidth="1"/>
    <col min="1549" max="1549" width="13.85546875" bestFit="1" customWidth="1"/>
    <col min="1550" max="1550" width="14.42578125" bestFit="1" customWidth="1"/>
    <col min="1793" max="1793" width="6.42578125" bestFit="1" customWidth="1"/>
    <col min="1794" max="1794" width="65.7109375" customWidth="1"/>
    <col min="1795" max="1795" width="5.28515625" bestFit="1" customWidth="1"/>
    <col min="1796" max="1796" width="23.85546875" customWidth="1"/>
    <col min="1797" max="1797" width="29" bestFit="1" customWidth="1"/>
    <col min="1798" max="1798" width="26" bestFit="1" customWidth="1"/>
    <col min="1799" max="1799" width="26.5703125" bestFit="1" customWidth="1"/>
    <col min="1800" max="1800" width="16.28515625" customWidth="1"/>
    <col min="1801" max="1801" width="29.5703125" customWidth="1"/>
    <col min="1802" max="1802" width="21.85546875" customWidth="1"/>
    <col min="1803" max="1803" width="30" bestFit="1" customWidth="1"/>
    <col min="1804" max="1804" width="23.5703125" bestFit="1" customWidth="1"/>
    <col min="1805" max="1805" width="13.85546875" bestFit="1" customWidth="1"/>
    <col min="1806" max="1806" width="14.42578125" bestFit="1" customWidth="1"/>
    <col min="2049" max="2049" width="6.42578125" bestFit="1" customWidth="1"/>
    <col min="2050" max="2050" width="65.7109375" customWidth="1"/>
    <col min="2051" max="2051" width="5.28515625" bestFit="1" customWidth="1"/>
    <col min="2052" max="2052" width="23.85546875" customWidth="1"/>
    <col min="2053" max="2053" width="29" bestFit="1" customWidth="1"/>
    <col min="2054" max="2054" width="26" bestFit="1" customWidth="1"/>
    <col min="2055" max="2055" width="26.5703125" bestFit="1" customWidth="1"/>
    <col min="2056" max="2056" width="16.28515625" customWidth="1"/>
    <col min="2057" max="2057" width="29.5703125" customWidth="1"/>
    <col min="2058" max="2058" width="21.85546875" customWidth="1"/>
    <col min="2059" max="2059" width="30" bestFit="1" customWidth="1"/>
    <col min="2060" max="2060" width="23.5703125" bestFit="1" customWidth="1"/>
    <col min="2061" max="2061" width="13.85546875" bestFit="1" customWidth="1"/>
    <col min="2062" max="2062" width="14.42578125" bestFit="1" customWidth="1"/>
    <col min="2305" max="2305" width="6.42578125" bestFit="1" customWidth="1"/>
    <col min="2306" max="2306" width="65.7109375" customWidth="1"/>
    <col min="2307" max="2307" width="5.28515625" bestFit="1" customWidth="1"/>
    <col min="2308" max="2308" width="23.85546875" customWidth="1"/>
    <col min="2309" max="2309" width="29" bestFit="1" customWidth="1"/>
    <col min="2310" max="2310" width="26" bestFit="1" customWidth="1"/>
    <col min="2311" max="2311" width="26.5703125" bestFit="1" customWidth="1"/>
    <col min="2312" max="2312" width="16.28515625" customWidth="1"/>
    <col min="2313" max="2313" width="29.5703125" customWidth="1"/>
    <col min="2314" max="2314" width="21.85546875" customWidth="1"/>
    <col min="2315" max="2315" width="30" bestFit="1" customWidth="1"/>
    <col min="2316" max="2316" width="23.5703125" bestFit="1" customWidth="1"/>
    <col min="2317" max="2317" width="13.85546875" bestFit="1" customWidth="1"/>
    <col min="2318" max="2318" width="14.42578125" bestFit="1" customWidth="1"/>
    <col min="2561" max="2561" width="6.42578125" bestFit="1" customWidth="1"/>
    <col min="2562" max="2562" width="65.7109375" customWidth="1"/>
    <col min="2563" max="2563" width="5.28515625" bestFit="1" customWidth="1"/>
    <col min="2564" max="2564" width="23.85546875" customWidth="1"/>
    <col min="2565" max="2565" width="29" bestFit="1" customWidth="1"/>
    <col min="2566" max="2566" width="26" bestFit="1" customWidth="1"/>
    <col min="2567" max="2567" width="26.5703125" bestFit="1" customWidth="1"/>
    <col min="2568" max="2568" width="16.28515625" customWidth="1"/>
    <col min="2569" max="2569" width="29.5703125" customWidth="1"/>
    <col min="2570" max="2570" width="21.85546875" customWidth="1"/>
    <col min="2571" max="2571" width="30" bestFit="1" customWidth="1"/>
    <col min="2572" max="2572" width="23.5703125" bestFit="1" customWidth="1"/>
    <col min="2573" max="2573" width="13.85546875" bestFit="1" customWidth="1"/>
    <col min="2574" max="2574" width="14.42578125" bestFit="1" customWidth="1"/>
    <col min="2817" max="2817" width="6.42578125" bestFit="1" customWidth="1"/>
    <col min="2818" max="2818" width="65.7109375" customWidth="1"/>
    <col min="2819" max="2819" width="5.28515625" bestFit="1" customWidth="1"/>
    <col min="2820" max="2820" width="23.85546875" customWidth="1"/>
    <col min="2821" max="2821" width="29" bestFit="1" customWidth="1"/>
    <col min="2822" max="2822" width="26" bestFit="1" customWidth="1"/>
    <col min="2823" max="2823" width="26.5703125" bestFit="1" customWidth="1"/>
    <col min="2824" max="2824" width="16.28515625" customWidth="1"/>
    <col min="2825" max="2825" width="29.5703125" customWidth="1"/>
    <col min="2826" max="2826" width="21.85546875" customWidth="1"/>
    <col min="2827" max="2827" width="30" bestFit="1" customWidth="1"/>
    <col min="2828" max="2828" width="23.5703125" bestFit="1" customWidth="1"/>
    <col min="2829" max="2829" width="13.85546875" bestFit="1" customWidth="1"/>
    <col min="2830" max="2830" width="14.42578125" bestFit="1" customWidth="1"/>
    <col min="3073" max="3073" width="6.42578125" bestFit="1" customWidth="1"/>
    <col min="3074" max="3074" width="65.7109375" customWidth="1"/>
    <col min="3075" max="3075" width="5.28515625" bestFit="1" customWidth="1"/>
    <col min="3076" max="3076" width="23.85546875" customWidth="1"/>
    <col min="3077" max="3077" width="29" bestFit="1" customWidth="1"/>
    <col min="3078" max="3078" width="26" bestFit="1" customWidth="1"/>
    <col min="3079" max="3079" width="26.5703125" bestFit="1" customWidth="1"/>
    <col min="3080" max="3080" width="16.28515625" customWidth="1"/>
    <col min="3081" max="3081" width="29.5703125" customWidth="1"/>
    <col min="3082" max="3082" width="21.85546875" customWidth="1"/>
    <col min="3083" max="3083" width="30" bestFit="1" customWidth="1"/>
    <col min="3084" max="3084" width="23.5703125" bestFit="1" customWidth="1"/>
    <col min="3085" max="3085" width="13.85546875" bestFit="1" customWidth="1"/>
    <col min="3086" max="3086" width="14.42578125" bestFit="1" customWidth="1"/>
    <col min="3329" max="3329" width="6.42578125" bestFit="1" customWidth="1"/>
    <col min="3330" max="3330" width="65.7109375" customWidth="1"/>
    <col min="3331" max="3331" width="5.28515625" bestFit="1" customWidth="1"/>
    <col min="3332" max="3332" width="23.85546875" customWidth="1"/>
    <col min="3333" max="3333" width="29" bestFit="1" customWidth="1"/>
    <col min="3334" max="3334" width="26" bestFit="1" customWidth="1"/>
    <col min="3335" max="3335" width="26.5703125" bestFit="1" customWidth="1"/>
    <col min="3336" max="3336" width="16.28515625" customWidth="1"/>
    <col min="3337" max="3337" width="29.5703125" customWidth="1"/>
    <col min="3338" max="3338" width="21.85546875" customWidth="1"/>
    <col min="3339" max="3339" width="30" bestFit="1" customWidth="1"/>
    <col min="3340" max="3340" width="23.5703125" bestFit="1" customWidth="1"/>
    <col min="3341" max="3341" width="13.85546875" bestFit="1" customWidth="1"/>
    <col min="3342" max="3342" width="14.42578125" bestFit="1" customWidth="1"/>
    <col min="3585" max="3585" width="6.42578125" bestFit="1" customWidth="1"/>
    <col min="3586" max="3586" width="65.7109375" customWidth="1"/>
    <col min="3587" max="3587" width="5.28515625" bestFit="1" customWidth="1"/>
    <col min="3588" max="3588" width="23.85546875" customWidth="1"/>
    <col min="3589" max="3589" width="29" bestFit="1" customWidth="1"/>
    <col min="3590" max="3590" width="26" bestFit="1" customWidth="1"/>
    <col min="3591" max="3591" width="26.5703125" bestFit="1" customWidth="1"/>
    <col min="3592" max="3592" width="16.28515625" customWidth="1"/>
    <col min="3593" max="3593" width="29.5703125" customWidth="1"/>
    <col min="3594" max="3594" width="21.85546875" customWidth="1"/>
    <col min="3595" max="3595" width="30" bestFit="1" customWidth="1"/>
    <col min="3596" max="3596" width="23.5703125" bestFit="1" customWidth="1"/>
    <col min="3597" max="3597" width="13.85546875" bestFit="1" customWidth="1"/>
    <col min="3598" max="3598" width="14.42578125" bestFit="1" customWidth="1"/>
    <col min="3841" max="3841" width="6.42578125" bestFit="1" customWidth="1"/>
    <col min="3842" max="3842" width="65.7109375" customWidth="1"/>
    <col min="3843" max="3843" width="5.28515625" bestFit="1" customWidth="1"/>
    <col min="3844" max="3844" width="23.85546875" customWidth="1"/>
    <col min="3845" max="3845" width="29" bestFit="1" customWidth="1"/>
    <col min="3846" max="3846" width="26" bestFit="1" customWidth="1"/>
    <col min="3847" max="3847" width="26.5703125" bestFit="1" customWidth="1"/>
    <col min="3848" max="3848" width="16.28515625" customWidth="1"/>
    <col min="3849" max="3849" width="29.5703125" customWidth="1"/>
    <col min="3850" max="3850" width="21.85546875" customWidth="1"/>
    <col min="3851" max="3851" width="30" bestFit="1" customWidth="1"/>
    <col min="3852" max="3852" width="23.5703125" bestFit="1" customWidth="1"/>
    <col min="3853" max="3853" width="13.85546875" bestFit="1" customWidth="1"/>
    <col min="3854" max="3854" width="14.42578125" bestFit="1" customWidth="1"/>
    <col min="4097" max="4097" width="6.42578125" bestFit="1" customWidth="1"/>
    <col min="4098" max="4098" width="65.7109375" customWidth="1"/>
    <col min="4099" max="4099" width="5.28515625" bestFit="1" customWidth="1"/>
    <col min="4100" max="4100" width="23.85546875" customWidth="1"/>
    <col min="4101" max="4101" width="29" bestFit="1" customWidth="1"/>
    <col min="4102" max="4102" width="26" bestFit="1" customWidth="1"/>
    <col min="4103" max="4103" width="26.5703125" bestFit="1" customWidth="1"/>
    <col min="4104" max="4104" width="16.28515625" customWidth="1"/>
    <col min="4105" max="4105" width="29.5703125" customWidth="1"/>
    <col min="4106" max="4106" width="21.85546875" customWidth="1"/>
    <col min="4107" max="4107" width="30" bestFit="1" customWidth="1"/>
    <col min="4108" max="4108" width="23.5703125" bestFit="1" customWidth="1"/>
    <col min="4109" max="4109" width="13.85546875" bestFit="1" customWidth="1"/>
    <col min="4110" max="4110" width="14.42578125" bestFit="1" customWidth="1"/>
    <col min="4353" max="4353" width="6.42578125" bestFit="1" customWidth="1"/>
    <col min="4354" max="4354" width="65.7109375" customWidth="1"/>
    <col min="4355" max="4355" width="5.28515625" bestFit="1" customWidth="1"/>
    <col min="4356" max="4356" width="23.85546875" customWidth="1"/>
    <col min="4357" max="4357" width="29" bestFit="1" customWidth="1"/>
    <col min="4358" max="4358" width="26" bestFit="1" customWidth="1"/>
    <col min="4359" max="4359" width="26.5703125" bestFit="1" customWidth="1"/>
    <col min="4360" max="4360" width="16.28515625" customWidth="1"/>
    <col min="4361" max="4361" width="29.5703125" customWidth="1"/>
    <col min="4362" max="4362" width="21.85546875" customWidth="1"/>
    <col min="4363" max="4363" width="30" bestFit="1" customWidth="1"/>
    <col min="4364" max="4364" width="23.5703125" bestFit="1" customWidth="1"/>
    <col min="4365" max="4365" width="13.85546875" bestFit="1" customWidth="1"/>
    <col min="4366" max="4366" width="14.42578125" bestFit="1" customWidth="1"/>
    <col min="4609" max="4609" width="6.42578125" bestFit="1" customWidth="1"/>
    <col min="4610" max="4610" width="65.7109375" customWidth="1"/>
    <col min="4611" max="4611" width="5.28515625" bestFit="1" customWidth="1"/>
    <col min="4612" max="4612" width="23.85546875" customWidth="1"/>
    <col min="4613" max="4613" width="29" bestFit="1" customWidth="1"/>
    <col min="4614" max="4614" width="26" bestFit="1" customWidth="1"/>
    <col min="4615" max="4615" width="26.5703125" bestFit="1" customWidth="1"/>
    <col min="4616" max="4616" width="16.28515625" customWidth="1"/>
    <col min="4617" max="4617" width="29.5703125" customWidth="1"/>
    <col min="4618" max="4618" width="21.85546875" customWidth="1"/>
    <col min="4619" max="4619" width="30" bestFit="1" customWidth="1"/>
    <col min="4620" max="4620" width="23.5703125" bestFit="1" customWidth="1"/>
    <col min="4621" max="4621" width="13.85546875" bestFit="1" customWidth="1"/>
    <col min="4622" max="4622" width="14.42578125" bestFit="1" customWidth="1"/>
    <col min="4865" max="4865" width="6.42578125" bestFit="1" customWidth="1"/>
    <col min="4866" max="4866" width="65.7109375" customWidth="1"/>
    <col min="4867" max="4867" width="5.28515625" bestFit="1" customWidth="1"/>
    <col min="4868" max="4868" width="23.85546875" customWidth="1"/>
    <col min="4869" max="4869" width="29" bestFit="1" customWidth="1"/>
    <col min="4870" max="4870" width="26" bestFit="1" customWidth="1"/>
    <col min="4871" max="4871" width="26.5703125" bestFit="1" customWidth="1"/>
    <col min="4872" max="4872" width="16.28515625" customWidth="1"/>
    <col min="4873" max="4873" width="29.5703125" customWidth="1"/>
    <col min="4874" max="4874" width="21.85546875" customWidth="1"/>
    <col min="4875" max="4875" width="30" bestFit="1" customWidth="1"/>
    <col min="4876" max="4876" width="23.5703125" bestFit="1" customWidth="1"/>
    <col min="4877" max="4877" width="13.85546875" bestFit="1" customWidth="1"/>
    <col min="4878" max="4878" width="14.42578125" bestFit="1" customWidth="1"/>
    <col min="5121" max="5121" width="6.42578125" bestFit="1" customWidth="1"/>
    <col min="5122" max="5122" width="65.7109375" customWidth="1"/>
    <col min="5123" max="5123" width="5.28515625" bestFit="1" customWidth="1"/>
    <col min="5124" max="5124" width="23.85546875" customWidth="1"/>
    <col min="5125" max="5125" width="29" bestFit="1" customWidth="1"/>
    <col min="5126" max="5126" width="26" bestFit="1" customWidth="1"/>
    <col min="5127" max="5127" width="26.5703125" bestFit="1" customWidth="1"/>
    <col min="5128" max="5128" width="16.28515625" customWidth="1"/>
    <col min="5129" max="5129" width="29.5703125" customWidth="1"/>
    <col min="5130" max="5130" width="21.85546875" customWidth="1"/>
    <col min="5131" max="5131" width="30" bestFit="1" customWidth="1"/>
    <col min="5132" max="5132" width="23.5703125" bestFit="1" customWidth="1"/>
    <col min="5133" max="5133" width="13.85546875" bestFit="1" customWidth="1"/>
    <col min="5134" max="5134" width="14.42578125" bestFit="1" customWidth="1"/>
    <col min="5377" max="5377" width="6.42578125" bestFit="1" customWidth="1"/>
    <col min="5378" max="5378" width="65.7109375" customWidth="1"/>
    <col min="5379" max="5379" width="5.28515625" bestFit="1" customWidth="1"/>
    <col min="5380" max="5380" width="23.85546875" customWidth="1"/>
    <col min="5381" max="5381" width="29" bestFit="1" customWidth="1"/>
    <col min="5382" max="5382" width="26" bestFit="1" customWidth="1"/>
    <col min="5383" max="5383" width="26.5703125" bestFit="1" customWidth="1"/>
    <col min="5384" max="5384" width="16.28515625" customWidth="1"/>
    <col min="5385" max="5385" width="29.5703125" customWidth="1"/>
    <col min="5386" max="5386" width="21.85546875" customWidth="1"/>
    <col min="5387" max="5387" width="30" bestFit="1" customWidth="1"/>
    <col min="5388" max="5388" width="23.5703125" bestFit="1" customWidth="1"/>
    <col min="5389" max="5389" width="13.85546875" bestFit="1" customWidth="1"/>
    <col min="5390" max="5390" width="14.42578125" bestFit="1" customWidth="1"/>
    <col min="5633" max="5633" width="6.42578125" bestFit="1" customWidth="1"/>
    <col min="5634" max="5634" width="65.7109375" customWidth="1"/>
    <col min="5635" max="5635" width="5.28515625" bestFit="1" customWidth="1"/>
    <col min="5636" max="5636" width="23.85546875" customWidth="1"/>
    <col min="5637" max="5637" width="29" bestFit="1" customWidth="1"/>
    <col min="5638" max="5638" width="26" bestFit="1" customWidth="1"/>
    <col min="5639" max="5639" width="26.5703125" bestFit="1" customWidth="1"/>
    <col min="5640" max="5640" width="16.28515625" customWidth="1"/>
    <col min="5641" max="5641" width="29.5703125" customWidth="1"/>
    <col min="5642" max="5642" width="21.85546875" customWidth="1"/>
    <col min="5643" max="5643" width="30" bestFit="1" customWidth="1"/>
    <col min="5644" max="5644" width="23.5703125" bestFit="1" customWidth="1"/>
    <col min="5645" max="5645" width="13.85546875" bestFit="1" customWidth="1"/>
    <col min="5646" max="5646" width="14.42578125" bestFit="1" customWidth="1"/>
    <col min="5889" max="5889" width="6.42578125" bestFit="1" customWidth="1"/>
    <col min="5890" max="5890" width="65.7109375" customWidth="1"/>
    <col min="5891" max="5891" width="5.28515625" bestFit="1" customWidth="1"/>
    <col min="5892" max="5892" width="23.85546875" customWidth="1"/>
    <col min="5893" max="5893" width="29" bestFit="1" customWidth="1"/>
    <col min="5894" max="5894" width="26" bestFit="1" customWidth="1"/>
    <col min="5895" max="5895" width="26.5703125" bestFit="1" customWidth="1"/>
    <col min="5896" max="5896" width="16.28515625" customWidth="1"/>
    <col min="5897" max="5897" width="29.5703125" customWidth="1"/>
    <col min="5898" max="5898" width="21.85546875" customWidth="1"/>
    <col min="5899" max="5899" width="30" bestFit="1" customWidth="1"/>
    <col min="5900" max="5900" width="23.5703125" bestFit="1" customWidth="1"/>
    <col min="5901" max="5901" width="13.85546875" bestFit="1" customWidth="1"/>
    <col min="5902" max="5902" width="14.42578125" bestFit="1" customWidth="1"/>
    <col min="6145" max="6145" width="6.42578125" bestFit="1" customWidth="1"/>
    <col min="6146" max="6146" width="65.7109375" customWidth="1"/>
    <col min="6147" max="6147" width="5.28515625" bestFit="1" customWidth="1"/>
    <col min="6148" max="6148" width="23.85546875" customWidth="1"/>
    <col min="6149" max="6149" width="29" bestFit="1" customWidth="1"/>
    <col min="6150" max="6150" width="26" bestFit="1" customWidth="1"/>
    <col min="6151" max="6151" width="26.5703125" bestFit="1" customWidth="1"/>
    <col min="6152" max="6152" width="16.28515625" customWidth="1"/>
    <col min="6153" max="6153" width="29.5703125" customWidth="1"/>
    <col min="6154" max="6154" width="21.85546875" customWidth="1"/>
    <col min="6155" max="6155" width="30" bestFit="1" customWidth="1"/>
    <col min="6156" max="6156" width="23.5703125" bestFit="1" customWidth="1"/>
    <col min="6157" max="6157" width="13.85546875" bestFit="1" customWidth="1"/>
    <col min="6158" max="6158" width="14.42578125" bestFit="1" customWidth="1"/>
    <col min="6401" max="6401" width="6.42578125" bestFit="1" customWidth="1"/>
    <col min="6402" max="6402" width="65.7109375" customWidth="1"/>
    <col min="6403" max="6403" width="5.28515625" bestFit="1" customWidth="1"/>
    <col min="6404" max="6404" width="23.85546875" customWidth="1"/>
    <col min="6405" max="6405" width="29" bestFit="1" customWidth="1"/>
    <col min="6406" max="6406" width="26" bestFit="1" customWidth="1"/>
    <col min="6407" max="6407" width="26.5703125" bestFit="1" customWidth="1"/>
    <col min="6408" max="6408" width="16.28515625" customWidth="1"/>
    <col min="6409" max="6409" width="29.5703125" customWidth="1"/>
    <col min="6410" max="6410" width="21.85546875" customWidth="1"/>
    <col min="6411" max="6411" width="30" bestFit="1" customWidth="1"/>
    <col min="6412" max="6412" width="23.5703125" bestFit="1" customWidth="1"/>
    <col min="6413" max="6413" width="13.85546875" bestFit="1" customWidth="1"/>
    <col min="6414" max="6414" width="14.42578125" bestFit="1" customWidth="1"/>
    <col min="6657" max="6657" width="6.42578125" bestFit="1" customWidth="1"/>
    <col min="6658" max="6658" width="65.7109375" customWidth="1"/>
    <col min="6659" max="6659" width="5.28515625" bestFit="1" customWidth="1"/>
    <col min="6660" max="6660" width="23.85546875" customWidth="1"/>
    <col min="6661" max="6661" width="29" bestFit="1" customWidth="1"/>
    <col min="6662" max="6662" width="26" bestFit="1" customWidth="1"/>
    <col min="6663" max="6663" width="26.5703125" bestFit="1" customWidth="1"/>
    <col min="6664" max="6664" width="16.28515625" customWidth="1"/>
    <col min="6665" max="6665" width="29.5703125" customWidth="1"/>
    <col min="6666" max="6666" width="21.85546875" customWidth="1"/>
    <col min="6667" max="6667" width="30" bestFit="1" customWidth="1"/>
    <col min="6668" max="6668" width="23.5703125" bestFit="1" customWidth="1"/>
    <col min="6669" max="6669" width="13.85546875" bestFit="1" customWidth="1"/>
    <col min="6670" max="6670" width="14.42578125" bestFit="1" customWidth="1"/>
    <col min="6913" max="6913" width="6.42578125" bestFit="1" customWidth="1"/>
    <col min="6914" max="6914" width="65.7109375" customWidth="1"/>
    <col min="6915" max="6915" width="5.28515625" bestFit="1" customWidth="1"/>
    <col min="6916" max="6916" width="23.85546875" customWidth="1"/>
    <col min="6917" max="6917" width="29" bestFit="1" customWidth="1"/>
    <col min="6918" max="6918" width="26" bestFit="1" customWidth="1"/>
    <col min="6919" max="6919" width="26.5703125" bestFit="1" customWidth="1"/>
    <col min="6920" max="6920" width="16.28515625" customWidth="1"/>
    <col min="6921" max="6921" width="29.5703125" customWidth="1"/>
    <col min="6922" max="6922" width="21.85546875" customWidth="1"/>
    <col min="6923" max="6923" width="30" bestFit="1" customWidth="1"/>
    <col min="6924" max="6924" width="23.5703125" bestFit="1" customWidth="1"/>
    <col min="6925" max="6925" width="13.85546875" bestFit="1" customWidth="1"/>
    <col min="6926" max="6926" width="14.42578125" bestFit="1" customWidth="1"/>
    <col min="7169" max="7169" width="6.42578125" bestFit="1" customWidth="1"/>
    <col min="7170" max="7170" width="65.7109375" customWidth="1"/>
    <col min="7171" max="7171" width="5.28515625" bestFit="1" customWidth="1"/>
    <col min="7172" max="7172" width="23.85546875" customWidth="1"/>
    <col min="7173" max="7173" width="29" bestFit="1" customWidth="1"/>
    <col min="7174" max="7174" width="26" bestFit="1" customWidth="1"/>
    <col min="7175" max="7175" width="26.5703125" bestFit="1" customWidth="1"/>
    <col min="7176" max="7176" width="16.28515625" customWidth="1"/>
    <col min="7177" max="7177" width="29.5703125" customWidth="1"/>
    <col min="7178" max="7178" width="21.85546875" customWidth="1"/>
    <col min="7179" max="7179" width="30" bestFit="1" customWidth="1"/>
    <col min="7180" max="7180" width="23.5703125" bestFit="1" customWidth="1"/>
    <col min="7181" max="7181" width="13.85546875" bestFit="1" customWidth="1"/>
    <col min="7182" max="7182" width="14.42578125" bestFit="1" customWidth="1"/>
    <col min="7425" max="7425" width="6.42578125" bestFit="1" customWidth="1"/>
    <col min="7426" max="7426" width="65.7109375" customWidth="1"/>
    <col min="7427" max="7427" width="5.28515625" bestFit="1" customWidth="1"/>
    <col min="7428" max="7428" width="23.85546875" customWidth="1"/>
    <col min="7429" max="7429" width="29" bestFit="1" customWidth="1"/>
    <col min="7430" max="7430" width="26" bestFit="1" customWidth="1"/>
    <col min="7431" max="7431" width="26.5703125" bestFit="1" customWidth="1"/>
    <col min="7432" max="7432" width="16.28515625" customWidth="1"/>
    <col min="7433" max="7433" width="29.5703125" customWidth="1"/>
    <col min="7434" max="7434" width="21.85546875" customWidth="1"/>
    <col min="7435" max="7435" width="30" bestFit="1" customWidth="1"/>
    <col min="7436" max="7436" width="23.5703125" bestFit="1" customWidth="1"/>
    <col min="7437" max="7437" width="13.85546875" bestFit="1" customWidth="1"/>
    <col min="7438" max="7438" width="14.42578125" bestFit="1" customWidth="1"/>
    <col min="7681" max="7681" width="6.42578125" bestFit="1" customWidth="1"/>
    <col min="7682" max="7682" width="65.7109375" customWidth="1"/>
    <col min="7683" max="7683" width="5.28515625" bestFit="1" customWidth="1"/>
    <col min="7684" max="7684" width="23.85546875" customWidth="1"/>
    <col min="7685" max="7685" width="29" bestFit="1" customWidth="1"/>
    <col min="7686" max="7686" width="26" bestFit="1" customWidth="1"/>
    <col min="7687" max="7687" width="26.5703125" bestFit="1" customWidth="1"/>
    <col min="7688" max="7688" width="16.28515625" customWidth="1"/>
    <col min="7689" max="7689" width="29.5703125" customWidth="1"/>
    <col min="7690" max="7690" width="21.85546875" customWidth="1"/>
    <col min="7691" max="7691" width="30" bestFit="1" customWidth="1"/>
    <col min="7692" max="7692" width="23.5703125" bestFit="1" customWidth="1"/>
    <col min="7693" max="7693" width="13.85546875" bestFit="1" customWidth="1"/>
    <col min="7694" max="7694" width="14.42578125" bestFit="1" customWidth="1"/>
    <col min="7937" max="7937" width="6.42578125" bestFit="1" customWidth="1"/>
    <col min="7938" max="7938" width="65.7109375" customWidth="1"/>
    <col min="7939" max="7939" width="5.28515625" bestFit="1" customWidth="1"/>
    <col min="7940" max="7940" width="23.85546875" customWidth="1"/>
    <col min="7941" max="7941" width="29" bestFit="1" customWidth="1"/>
    <col min="7942" max="7942" width="26" bestFit="1" customWidth="1"/>
    <col min="7943" max="7943" width="26.5703125" bestFit="1" customWidth="1"/>
    <col min="7944" max="7944" width="16.28515625" customWidth="1"/>
    <col min="7945" max="7945" width="29.5703125" customWidth="1"/>
    <col min="7946" max="7946" width="21.85546875" customWidth="1"/>
    <col min="7947" max="7947" width="30" bestFit="1" customWidth="1"/>
    <col min="7948" max="7948" width="23.5703125" bestFit="1" customWidth="1"/>
    <col min="7949" max="7949" width="13.85546875" bestFit="1" customWidth="1"/>
    <col min="7950" max="7950" width="14.42578125" bestFit="1" customWidth="1"/>
    <col min="8193" max="8193" width="6.42578125" bestFit="1" customWidth="1"/>
    <col min="8194" max="8194" width="65.7109375" customWidth="1"/>
    <col min="8195" max="8195" width="5.28515625" bestFit="1" customWidth="1"/>
    <col min="8196" max="8196" width="23.85546875" customWidth="1"/>
    <col min="8197" max="8197" width="29" bestFit="1" customWidth="1"/>
    <col min="8198" max="8198" width="26" bestFit="1" customWidth="1"/>
    <col min="8199" max="8199" width="26.5703125" bestFit="1" customWidth="1"/>
    <col min="8200" max="8200" width="16.28515625" customWidth="1"/>
    <col min="8201" max="8201" width="29.5703125" customWidth="1"/>
    <col min="8202" max="8202" width="21.85546875" customWidth="1"/>
    <col min="8203" max="8203" width="30" bestFit="1" customWidth="1"/>
    <col min="8204" max="8204" width="23.5703125" bestFit="1" customWidth="1"/>
    <col min="8205" max="8205" width="13.85546875" bestFit="1" customWidth="1"/>
    <col min="8206" max="8206" width="14.42578125" bestFit="1" customWidth="1"/>
    <col min="8449" max="8449" width="6.42578125" bestFit="1" customWidth="1"/>
    <col min="8450" max="8450" width="65.7109375" customWidth="1"/>
    <col min="8451" max="8451" width="5.28515625" bestFit="1" customWidth="1"/>
    <col min="8452" max="8452" width="23.85546875" customWidth="1"/>
    <col min="8453" max="8453" width="29" bestFit="1" customWidth="1"/>
    <col min="8454" max="8454" width="26" bestFit="1" customWidth="1"/>
    <col min="8455" max="8455" width="26.5703125" bestFit="1" customWidth="1"/>
    <col min="8456" max="8456" width="16.28515625" customWidth="1"/>
    <col min="8457" max="8457" width="29.5703125" customWidth="1"/>
    <col min="8458" max="8458" width="21.85546875" customWidth="1"/>
    <col min="8459" max="8459" width="30" bestFit="1" customWidth="1"/>
    <col min="8460" max="8460" width="23.5703125" bestFit="1" customWidth="1"/>
    <col min="8461" max="8461" width="13.85546875" bestFit="1" customWidth="1"/>
    <col min="8462" max="8462" width="14.42578125" bestFit="1" customWidth="1"/>
    <col min="8705" max="8705" width="6.42578125" bestFit="1" customWidth="1"/>
    <col min="8706" max="8706" width="65.7109375" customWidth="1"/>
    <col min="8707" max="8707" width="5.28515625" bestFit="1" customWidth="1"/>
    <col min="8708" max="8708" width="23.85546875" customWidth="1"/>
    <col min="8709" max="8709" width="29" bestFit="1" customWidth="1"/>
    <col min="8710" max="8710" width="26" bestFit="1" customWidth="1"/>
    <col min="8711" max="8711" width="26.5703125" bestFit="1" customWidth="1"/>
    <col min="8712" max="8712" width="16.28515625" customWidth="1"/>
    <col min="8713" max="8713" width="29.5703125" customWidth="1"/>
    <col min="8714" max="8714" width="21.85546875" customWidth="1"/>
    <col min="8715" max="8715" width="30" bestFit="1" customWidth="1"/>
    <col min="8716" max="8716" width="23.5703125" bestFit="1" customWidth="1"/>
    <col min="8717" max="8717" width="13.85546875" bestFit="1" customWidth="1"/>
    <col min="8718" max="8718" width="14.42578125" bestFit="1" customWidth="1"/>
    <col min="8961" max="8961" width="6.42578125" bestFit="1" customWidth="1"/>
    <col min="8962" max="8962" width="65.7109375" customWidth="1"/>
    <col min="8963" max="8963" width="5.28515625" bestFit="1" customWidth="1"/>
    <col min="8964" max="8964" width="23.85546875" customWidth="1"/>
    <col min="8965" max="8965" width="29" bestFit="1" customWidth="1"/>
    <col min="8966" max="8966" width="26" bestFit="1" customWidth="1"/>
    <col min="8967" max="8967" width="26.5703125" bestFit="1" customWidth="1"/>
    <col min="8968" max="8968" width="16.28515625" customWidth="1"/>
    <col min="8969" max="8969" width="29.5703125" customWidth="1"/>
    <col min="8970" max="8970" width="21.85546875" customWidth="1"/>
    <col min="8971" max="8971" width="30" bestFit="1" customWidth="1"/>
    <col min="8972" max="8972" width="23.5703125" bestFit="1" customWidth="1"/>
    <col min="8973" max="8973" width="13.85546875" bestFit="1" customWidth="1"/>
    <col min="8974" max="8974" width="14.42578125" bestFit="1" customWidth="1"/>
    <col min="9217" max="9217" width="6.42578125" bestFit="1" customWidth="1"/>
    <col min="9218" max="9218" width="65.7109375" customWidth="1"/>
    <col min="9219" max="9219" width="5.28515625" bestFit="1" customWidth="1"/>
    <col min="9220" max="9220" width="23.85546875" customWidth="1"/>
    <col min="9221" max="9221" width="29" bestFit="1" customWidth="1"/>
    <col min="9222" max="9222" width="26" bestFit="1" customWidth="1"/>
    <col min="9223" max="9223" width="26.5703125" bestFit="1" customWidth="1"/>
    <col min="9224" max="9224" width="16.28515625" customWidth="1"/>
    <col min="9225" max="9225" width="29.5703125" customWidth="1"/>
    <col min="9226" max="9226" width="21.85546875" customWidth="1"/>
    <col min="9227" max="9227" width="30" bestFit="1" customWidth="1"/>
    <col min="9228" max="9228" width="23.5703125" bestFit="1" customWidth="1"/>
    <col min="9229" max="9229" width="13.85546875" bestFit="1" customWidth="1"/>
    <col min="9230" max="9230" width="14.42578125" bestFit="1" customWidth="1"/>
    <col min="9473" max="9473" width="6.42578125" bestFit="1" customWidth="1"/>
    <col min="9474" max="9474" width="65.7109375" customWidth="1"/>
    <col min="9475" max="9475" width="5.28515625" bestFit="1" customWidth="1"/>
    <col min="9476" max="9476" width="23.85546875" customWidth="1"/>
    <col min="9477" max="9477" width="29" bestFit="1" customWidth="1"/>
    <col min="9478" max="9478" width="26" bestFit="1" customWidth="1"/>
    <col min="9479" max="9479" width="26.5703125" bestFit="1" customWidth="1"/>
    <col min="9480" max="9480" width="16.28515625" customWidth="1"/>
    <col min="9481" max="9481" width="29.5703125" customWidth="1"/>
    <col min="9482" max="9482" width="21.85546875" customWidth="1"/>
    <col min="9483" max="9483" width="30" bestFit="1" customWidth="1"/>
    <col min="9484" max="9484" width="23.5703125" bestFit="1" customWidth="1"/>
    <col min="9485" max="9485" width="13.85546875" bestFit="1" customWidth="1"/>
    <col min="9486" max="9486" width="14.42578125" bestFit="1" customWidth="1"/>
    <col min="9729" max="9729" width="6.42578125" bestFit="1" customWidth="1"/>
    <col min="9730" max="9730" width="65.7109375" customWidth="1"/>
    <col min="9731" max="9731" width="5.28515625" bestFit="1" customWidth="1"/>
    <col min="9732" max="9732" width="23.85546875" customWidth="1"/>
    <col min="9733" max="9733" width="29" bestFit="1" customWidth="1"/>
    <col min="9734" max="9734" width="26" bestFit="1" customWidth="1"/>
    <col min="9735" max="9735" width="26.5703125" bestFit="1" customWidth="1"/>
    <col min="9736" max="9736" width="16.28515625" customWidth="1"/>
    <col min="9737" max="9737" width="29.5703125" customWidth="1"/>
    <col min="9738" max="9738" width="21.85546875" customWidth="1"/>
    <col min="9739" max="9739" width="30" bestFit="1" customWidth="1"/>
    <col min="9740" max="9740" width="23.5703125" bestFit="1" customWidth="1"/>
    <col min="9741" max="9741" width="13.85546875" bestFit="1" customWidth="1"/>
    <col min="9742" max="9742" width="14.42578125" bestFit="1" customWidth="1"/>
    <col min="9985" max="9985" width="6.42578125" bestFit="1" customWidth="1"/>
    <col min="9986" max="9986" width="65.7109375" customWidth="1"/>
    <col min="9987" max="9987" width="5.28515625" bestFit="1" customWidth="1"/>
    <col min="9988" max="9988" width="23.85546875" customWidth="1"/>
    <col min="9989" max="9989" width="29" bestFit="1" customWidth="1"/>
    <col min="9990" max="9990" width="26" bestFit="1" customWidth="1"/>
    <col min="9991" max="9991" width="26.5703125" bestFit="1" customWidth="1"/>
    <col min="9992" max="9992" width="16.28515625" customWidth="1"/>
    <col min="9993" max="9993" width="29.5703125" customWidth="1"/>
    <col min="9994" max="9994" width="21.85546875" customWidth="1"/>
    <col min="9995" max="9995" width="30" bestFit="1" customWidth="1"/>
    <col min="9996" max="9996" width="23.5703125" bestFit="1" customWidth="1"/>
    <col min="9997" max="9997" width="13.85546875" bestFit="1" customWidth="1"/>
    <col min="9998" max="9998" width="14.42578125" bestFit="1" customWidth="1"/>
    <col min="10241" max="10241" width="6.42578125" bestFit="1" customWidth="1"/>
    <col min="10242" max="10242" width="65.7109375" customWidth="1"/>
    <col min="10243" max="10243" width="5.28515625" bestFit="1" customWidth="1"/>
    <col min="10244" max="10244" width="23.85546875" customWidth="1"/>
    <col min="10245" max="10245" width="29" bestFit="1" customWidth="1"/>
    <col min="10246" max="10246" width="26" bestFit="1" customWidth="1"/>
    <col min="10247" max="10247" width="26.5703125" bestFit="1" customWidth="1"/>
    <col min="10248" max="10248" width="16.28515625" customWidth="1"/>
    <col min="10249" max="10249" width="29.5703125" customWidth="1"/>
    <col min="10250" max="10250" width="21.85546875" customWidth="1"/>
    <col min="10251" max="10251" width="30" bestFit="1" customWidth="1"/>
    <col min="10252" max="10252" width="23.5703125" bestFit="1" customWidth="1"/>
    <col min="10253" max="10253" width="13.85546875" bestFit="1" customWidth="1"/>
    <col min="10254" max="10254" width="14.42578125" bestFit="1" customWidth="1"/>
    <col min="10497" max="10497" width="6.42578125" bestFit="1" customWidth="1"/>
    <col min="10498" max="10498" width="65.7109375" customWidth="1"/>
    <col min="10499" max="10499" width="5.28515625" bestFit="1" customWidth="1"/>
    <col min="10500" max="10500" width="23.85546875" customWidth="1"/>
    <col min="10501" max="10501" width="29" bestFit="1" customWidth="1"/>
    <col min="10502" max="10502" width="26" bestFit="1" customWidth="1"/>
    <col min="10503" max="10503" width="26.5703125" bestFit="1" customWidth="1"/>
    <col min="10504" max="10504" width="16.28515625" customWidth="1"/>
    <col min="10505" max="10505" width="29.5703125" customWidth="1"/>
    <col min="10506" max="10506" width="21.85546875" customWidth="1"/>
    <col min="10507" max="10507" width="30" bestFit="1" customWidth="1"/>
    <col min="10508" max="10508" width="23.5703125" bestFit="1" customWidth="1"/>
    <col min="10509" max="10509" width="13.85546875" bestFit="1" customWidth="1"/>
    <col min="10510" max="10510" width="14.42578125" bestFit="1" customWidth="1"/>
    <col min="10753" max="10753" width="6.42578125" bestFit="1" customWidth="1"/>
    <col min="10754" max="10754" width="65.7109375" customWidth="1"/>
    <col min="10755" max="10755" width="5.28515625" bestFit="1" customWidth="1"/>
    <col min="10756" max="10756" width="23.85546875" customWidth="1"/>
    <col min="10757" max="10757" width="29" bestFit="1" customWidth="1"/>
    <col min="10758" max="10758" width="26" bestFit="1" customWidth="1"/>
    <col min="10759" max="10759" width="26.5703125" bestFit="1" customWidth="1"/>
    <col min="10760" max="10760" width="16.28515625" customWidth="1"/>
    <col min="10761" max="10761" width="29.5703125" customWidth="1"/>
    <col min="10762" max="10762" width="21.85546875" customWidth="1"/>
    <col min="10763" max="10763" width="30" bestFit="1" customWidth="1"/>
    <col min="10764" max="10764" width="23.5703125" bestFit="1" customWidth="1"/>
    <col min="10765" max="10765" width="13.85546875" bestFit="1" customWidth="1"/>
    <col min="10766" max="10766" width="14.42578125" bestFit="1" customWidth="1"/>
    <col min="11009" max="11009" width="6.42578125" bestFit="1" customWidth="1"/>
    <col min="11010" max="11010" width="65.7109375" customWidth="1"/>
    <col min="11011" max="11011" width="5.28515625" bestFit="1" customWidth="1"/>
    <col min="11012" max="11012" width="23.85546875" customWidth="1"/>
    <col min="11013" max="11013" width="29" bestFit="1" customWidth="1"/>
    <col min="11014" max="11014" width="26" bestFit="1" customWidth="1"/>
    <col min="11015" max="11015" width="26.5703125" bestFit="1" customWidth="1"/>
    <col min="11016" max="11016" width="16.28515625" customWidth="1"/>
    <col min="11017" max="11017" width="29.5703125" customWidth="1"/>
    <col min="11018" max="11018" width="21.85546875" customWidth="1"/>
    <col min="11019" max="11019" width="30" bestFit="1" customWidth="1"/>
    <col min="11020" max="11020" width="23.5703125" bestFit="1" customWidth="1"/>
    <col min="11021" max="11021" width="13.85546875" bestFit="1" customWidth="1"/>
    <col min="11022" max="11022" width="14.42578125" bestFit="1" customWidth="1"/>
    <col min="11265" max="11265" width="6.42578125" bestFit="1" customWidth="1"/>
    <col min="11266" max="11266" width="65.7109375" customWidth="1"/>
    <col min="11267" max="11267" width="5.28515625" bestFit="1" customWidth="1"/>
    <col min="11268" max="11268" width="23.85546875" customWidth="1"/>
    <col min="11269" max="11269" width="29" bestFit="1" customWidth="1"/>
    <col min="11270" max="11270" width="26" bestFit="1" customWidth="1"/>
    <col min="11271" max="11271" width="26.5703125" bestFit="1" customWidth="1"/>
    <col min="11272" max="11272" width="16.28515625" customWidth="1"/>
    <col min="11273" max="11273" width="29.5703125" customWidth="1"/>
    <col min="11274" max="11274" width="21.85546875" customWidth="1"/>
    <col min="11275" max="11275" width="30" bestFit="1" customWidth="1"/>
    <col min="11276" max="11276" width="23.5703125" bestFit="1" customWidth="1"/>
    <col min="11277" max="11277" width="13.85546875" bestFit="1" customWidth="1"/>
    <col min="11278" max="11278" width="14.42578125" bestFit="1" customWidth="1"/>
    <col min="11521" max="11521" width="6.42578125" bestFit="1" customWidth="1"/>
    <col min="11522" max="11522" width="65.7109375" customWidth="1"/>
    <col min="11523" max="11523" width="5.28515625" bestFit="1" customWidth="1"/>
    <col min="11524" max="11524" width="23.85546875" customWidth="1"/>
    <col min="11525" max="11525" width="29" bestFit="1" customWidth="1"/>
    <col min="11526" max="11526" width="26" bestFit="1" customWidth="1"/>
    <col min="11527" max="11527" width="26.5703125" bestFit="1" customWidth="1"/>
    <col min="11528" max="11528" width="16.28515625" customWidth="1"/>
    <col min="11529" max="11529" width="29.5703125" customWidth="1"/>
    <col min="11530" max="11530" width="21.85546875" customWidth="1"/>
    <col min="11531" max="11531" width="30" bestFit="1" customWidth="1"/>
    <col min="11532" max="11532" width="23.5703125" bestFit="1" customWidth="1"/>
    <col min="11533" max="11533" width="13.85546875" bestFit="1" customWidth="1"/>
    <col min="11534" max="11534" width="14.42578125" bestFit="1" customWidth="1"/>
    <col min="11777" max="11777" width="6.42578125" bestFit="1" customWidth="1"/>
    <col min="11778" max="11778" width="65.7109375" customWidth="1"/>
    <col min="11779" max="11779" width="5.28515625" bestFit="1" customWidth="1"/>
    <col min="11780" max="11780" width="23.85546875" customWidth="1"/>
    <col min="11781" max="11781" width="29" bestFit="1" customWidth="1"/>
    <col min="11782" max="11782" width="26" bestFit="1" customWidth="1"/>
    <col min="11783" max="11783" width="26.5703125" bestFit="1" customWidth="1"/>
    <col min="11784" max="11784" width="16.28515625" customWidth="1"/>
    <col min="11785" max="11785" width="29.5703125" customWidth="1"/>
    <col min="11786" max="11786" width="21.85546875" customWidth="1"/>
    <col min="11787" max="11787" width="30" bestFit="1" customWidth="1"/>
    <col min="11788" max="11788" width="23.5703125" bestFit="1" customWidth="1"/>
    <col min="11789" max="11789" width="13.85546875" bestFit="1" customWidth="1"/>
    <col min="11790" max="11790" width="14.42578125" bestFit="1" customWidth="1"/>
    <col min="12033" max="12033" width="6.42578125" bestFit="1" customWidth="1"/>
    <col min="12034" max="12034" width="65.7109375" customWidth="1"/>
    <col min="12035" max="12035" width="5.28515625" bestFit="1" customWidth="1"/>
    <col min="12036" max="12036" width="23.85546875" customWidth="1"/>
    <col min="12037" max="12037" width="29" bestFit="1" customWidth="1"/>
    <col min="12038" max="12038" width="26" bestFit="1" customWidth="1"/>
    <col min="12039" max="12039" width="26.5703125" bestFit="1" customWidth="1"/>
    <col min="12040" max="12040" width="16.28515625" customWidth="1"/>
    <col min="12041" max="12041" width="29.5703125" customWidth="1"/>
    <col min="12042" max="12042" width="21.85546875" customWidth="1"/>
    <col min="12043" max="12043" width="30" bestFit="1" customWidth="1"/>
    <col min="12044" max="12044" width="23.5703125" bestFit="1" customWidth="1"/>
    <col min="12045" max="12045" width="13.85546875" bestFit="1" customWidth="1"/>
    <col min="12046" max="12046" width="14.42578125" bestFit="1" customWidth="1"/>
    <col min="12289" max="12289" width="6.42578125" bestFit="1" customWidth="1"/>
    <col min="12290" max="12290" width="65.7109375" customWidth="1"/>
    <col min="12291" max="12291" width="5.28515625" bestFit="1" customWidth="1"/>
    <col min="12292" max="12292" width="23.85546875" customWidth="1"/>
    <col min="12293" max="12293" width="29" bestFit="1" customWidth="1"/>
    <col min="12294" max="12294" width="26" bestFit="1" customWidth="1"/>
    <col min="12295" max="12295" width="26.5703125" bestFit="1" customWidth="1"/>
    <col min="12296" max="12296" width="16.28515625" customWidth="1"/>
    <col min="12297" max="12297" width="29.5703125" customWidth="1"/>
    <col min="12298" max="12298" width="21.85546875" customWidth="1"/>
    <col min="12299" max="12299" width="30" bestFit="1" customWidth="1"/>
    <col min="12300" max="12300" width="23.5703125" bestFit="1" customWidth="1"/>
    <col min="12301" max="12301" width="13.85546875" bestFit="1" customWidth="1"/>
    <col min="12302" max="12302" width="14.42578125" bestFit="1" customWidth="1"/>
    <col min="12545" max="12545" width="6.42578125" bestFit="1" customWidth="1"/>
    <col min="12546" max="12546" width="65.7109375" customWidth="1"/>
    <col min="12547" max="12547" width="5.28515625" bestFit="1" customWidth="1"/>
    <col min="12548" max="12548" width="23.85546875" customWidth="1"/>
    <col min="12549" max="12549" width="29" bestFit="1" customWidth="1"/>
    <col min="12550" max="12550" width="26" bestFit="1" customWidth="1"/>
    <col min="12551" max="12551" width="26.5703125" bestFit="1" customWidth="1"/>
    <col min="12552" max="12552" width="16.28515625" customWidth="1"/>
    <col min="12553" max="12553" width="29.5703125" customWidth="1"/>
    <col min="12554" max="12554" width="21.85546875" customWidth="1"/>
    <col min="12555" max="12555" width="30" bestFit="1" customWidth="1"/>
    <col min="12556" max="12556" width="23.5703125" bestFit="1" customWidth="1"/>
    <col min="12557" max="12557" width="13.85546875" bestFit="1" customWidth="1"/>
    <col min="12558" max="12558" width="14.42578125" bestFit="1" customWidth="1"/>
    <col min="12801" max="12801" width="6.42578125" bestFit="1" customWidth="1"/>
    <col min="12802" max="12802" width="65.7109375" customWidth="1"/>
    <col min="12803" max="12803" width="5.28515625" bestFit="1" customWidth="1"/>
    <col min="12804" max="12804" width="23.85546875" customWidth="1"/>
    <col min="12805" max="12805" width="29" bestFit="1" customWidth="1"/>
    <col min="12806" max="12806" width="26" bestFit="1" customWidth="1"/>
    <col min="12807" max="12807" width="26.5703125" bestFit="1" customWidth="1"/>
    <col min="12808" max="12808" width="16.28515625" customWidth="1"/>
    <col min="12809" max="12809" width="29.5703125" customWidth="1"/>
    <col min="12810" max="12810" width="21.85546875" customWidth="1"/>
    <col min="12811" max="12811" width="30" bestFit="1" customWidth="1"/>
    <col min="12812" max="12812" width="23.5703125" bestFit="1" customWidth="1"/>
    <col min="12813" max="12813" width="13.85546875" bestFit="1" customWidth="1"/>
    <col min="12814" max="12814" width="14.42578125" bestFit="1" customWidth="1"/>
    <col min="13057" max="13057" width="6.42578125" bestFit="1" customWidth="1"/>
    <col min="13058" max="13058" width="65.7109375" customWidth="1"/>
    <col min="13059" max="13059" width="5.28515625" bestFit="1" customWidth="1"/>
    <col min="13060" max="13060" width="23.85546875" customWidth="1"/>
    <col min="13061" max="13061" width="29" bestFit="1" customWidth="1"/>
    <col min="13062" max="13062" width="26" bestFit="1" customWidth="1"/>
    <col min="13063" max="13063" width="26.5703125" bestFit="1" customWidth="1"/>
    <col min="13064" max="13064" width="16.28515625" customWidth="1"/>
    <col min="13065" max="13065" width="29.5703125" customWidth="1"/>
    <col min="13066" max="13066" width="21.85546875" customWidth="1"/>
    <col min="13067" max="13067" width="30" bestFit="1" customWidth="1"/>
    <col min="13068" max="13068" width="23.5703125" bestFit="1" customWidth="1"/>
    <col min="13069" max="13069" width="13.85546875" bestFit="1" customWidth="1"/>
    <col min="13070" max="13070" width="14.42578125" bestFit="1" customWidth="1"/>
    <col min="13313" max="13313" width="6.42578125" bestFit="1" customWidth="1"/>
    <col min="13314" max="13314" width="65.7109375" customWidth="1"/>
    <col min="13315" max="13315" width="5.28515625" bestFit="1" customWidth="1"/>
    <col min="13316" max="13316" width="23.85546875" customWidth="1"/>
    <col min="13317" max="13317" width="29" bestFit="1" customWidth="1"/>
    <col min="13318" max="13318" width="26" bestFit="1" customWidth="1"/>
    <col min="13319" max="13319" width="26.5703125" bestFit="1" customWidth="1"/>
    <col min="13320" max="13320" width="16.28515625" customWidth="1"/>
    <col min="13321" max="13321" width="29.5703125" customWidth="1"/>
    <col min="13322" max="13322" width="21.85546875" customWidth="1"/>
    <col min="13323" max="13323" width="30" bestFit="1" customWidth="1"/>
    <col min="13324" max="13324" width="23.5703125" bestFit="1" customWidth="1"/>
    <col min="13325" max="13325" width="13.85546875" bestFit="1" customWidth="1"/>
    <col min="13326" max="13326" width="14.42578125" bestFit="1" customWidth="1"/>
    <col min="13569" max="13569" width="6.42578125" bestFit="1" customWidth="1"/>
    <col min="13570" max="13570" width="65.7109375" customWidth="1"/>
    <col min="13571" max="13571" width="5.28515625" bestFit="1" customWidth="1"/>
    <col min="13572" max="13572" width="23.85546875" customWidth="1"/>
    <col min="13573" max="13573" width="29" bestFit="1" customWidth="1"/>
    <col min="13574" max="13574" width="26" bestFit="1" customWidth="1"/>
    <col min="13575" max="13575" width="26.5703125" bestFit="1" customWidth="1"/>
    <col min="13576" max="13576" width="16.28515625" customWidth="1"/>
    <col min="13577" max="13577" width="29.5703125" customWidth="1"/>
    <col min="13578" max="13578" width="21.85546875" customWidth="1"/>
    <col min="13579" max="13579" width="30" bestFit="1" customWidth="1"/>
    <col min="13580" max="13580" width="23.5703125" bestFit="1" customWidth="1"/>
    <col min="13581" max="13581" width="13.85546875" bestFit="1" customWidth="1"/>
    <col min="13582" max="13582" width="14.42578125" bestFit="1" customWidth="1"/>
    <col min="13825" max="13825" width="6.42578125" bestFit="1" customWidth="1"/>
    <col min="13826" max="13826" width="65.7109375" customWidth="1"/>
    <col min="13827" max="13827" width="5.28515625" bestFit="1" customWidth="1"/>
    <col min="13828" max="13828" width="23.85546875" customWidth="1"/>
    <col min="13829" max="13829" width="29" bestFit="1" customWidth="1"/>
    <col min="13830" max="13830" width="26" bestFit="1" customWidth="1"/>
    <col min="13831" max="13831" width="26.5703125" bestFit="1" customWidth="1"/>
    <col min="13832" max="13832" width="16.28515625" customWidth="1"/>
    <col min="13833" max="13833" width="29.5703125" customWidth="1"/>
    <col min="13834" max="13834" width="21.85546875" customWidth="1"/>
    <col min="13835" max="13835" width="30" bestFit="1" customWidth="1"/>
    <col min="13836" max="13836" width="23.5703125" bestFit="1" customWidth="1"/>
    <col min="13837" max="13837" width="13.85546875" bestFit="1" customWidth="1"/>
    <col min="13838" max="13838" width="14.42578125" bestFit="1" customWidth="1"/>
    <col min="14081" max="14081" width="6.42578125" bestFit="1" customWidth="1"/>
    <col min="14082" max="14082" width="65.7109375" customWidth="1"/>
    <col min="14083" max="14083" width="5.28515625" bestFit="1" customWidth="1"/>
    <col min="14084" max="14084" width="23.85546875" customWidth="1"/>
    <col min="14085" max="14085" width="29" bestFit="1" customWidth="1"/>
    <col min="14086" max="14086" width="26" bestFit="1" customWidth="1"/>
    <col min="14087" max="14087" width="26.5703125" bestFit="1" customWidth="1"/>
    <col min="14088" max="14088" width="16.28515625" customWidth="1"/>
    <col min="14089" max="14089" width="29.5703125" customWidth="1"/>
    <col min="14090" max="14090" width="21.85546875" customWidth="1"/>
    <col min="14091" max="14091" width="30" bestFit="1" customWidth="1"/>
    <col min="14092" max="14092" width="23.5703125" bestFit="1" customWidth="1"/>
    <col min="14093" max="14093" width="13.85546875" bestFit="1" customWidth="1"/>
    <col min="14094" max="14094" width="14.42578125" bestFit="1" customWidth="1"/>
    <col min="14337" max="14337" width="6.42578125" bestFit="1" customWidth="1"/>
    <col min="14338" max="14338" width="65.7109375" customWidth="1"/>
    <col min="14339" max="14339" width="5.28515625" bestFit="1" customWidth="1"/>
    <col min="14340" max="14340" width="23.85546875" customWidth="1"/>
    <col min="14341" max="14341" width="29" bestFit="1" customWidth="1"/>
    <col min="14342" max="14342" width="26" bestFit="1" customWidth="1"/>
    <col min="14343" max="14343" width="26.5703125" bestFit="1" customWidth="1"/>
    <col min="14344" max="14344" width="16.28515625" customWidth="1"/>
    <col min="14345" max="14345" width="29.5703125" customWidth="1"/>
    <col min="14346" max="14346" width="21.85546875" customWidth="1"/>
    <col min="14347" max="14347" width="30" bestFit="1" customWidth="1"/>
    <col min="14348" max="14348" width="23.5703125" bestFit="1" customWidth="1"/>
    <col min="14349" max="14349" width="13.85546875" bestFit="1" customWidth="1"/>
    <col min="14350" max="14350" width="14.42578125" bestFit="1" customWidth="1"/>
    <col min="14593" max="14593" width="6.42578125" bestFit="1" customWidth="1"/>
    <col min="14594" max="14594" width="65.7109375" customWidth="1"/>
    <col min="14595" max="14595" width="5.28515625" bestFit="1" customWidth="1"/>
    <col min="14596" max="14596" width="23.85546875" customWidth="1"/>
    <col min="14597" max="14597" width="29" bestFit="1" customWidth="1"/>
    <col min="14598" max="14598" width="26" bestFit="1" customWidth="1"/>
    <col min="14599" max="14599" width="26.5703125" bestFit="1" customWidth="1"/>
    <col min="14600" max="14600" width="16.28515625" customWidth="1"/>
    <col min="14601" max="14601" width="29.5703125" customWidth="1"/>
    <col min="14602" max="14602" width="21.85546875" customWidth="1"/>
    <col min="14603" max="14603" width="30" bestFit="1" customWidth="1"/>
    <col min="14604" max="14604" width="23.5703125" bestFit="1" customWidth="1"/>
    <col min="14605" max="14605" width="13.85546875" bestFit="1" customWidth="1"/>
    <col min="14606" max="14606" width="14.42578125" bestFit="1" customWidth="1"/>
    <col min="14849" max="14849" width="6.42578125" bestFit="1" customWidth="1"/>
    <col min="14850" max="14850" width="65.7109375" customWidth="1"/>
    <col min="14851" max="14851" width="5.28515625" bestFit="1" customWidth="1"/>
    <col min="14852" max="14852" width="23.85546875" customWidth="1"/>
    <col min="14853" max="14853" width="29" bestFit="1" customWidth="1"/>
    <col min="14854" max="14854" width="26" bestFit="1" customWidth="1"/>
    <col min="14855" max="14855" width="26.5703125" bestFit="1" customWidth="1"/>
    <col min="14856" max="14856" width="16.28515625" customWidth="1"/>
    <col min="14857" max="14857" width="29.5703125" customWidth="1"/>
    <col min="14858" max="14858" width="21.85546875" customWidth="1"/>
    <col min="14859" max="14859" width="30" bestFit="1" customWidth="1"/>
    <col min="14860" max="14860" width="23.5703125" bestFit="1" customWidth="1"/>
    <col min="14861" max="14861" width="13.85546875" bestFit="1" customWidth="1"/>
    <col min="14862" max="14862" width="14.42578125" bestFit="1" customWidth="1"/>
    <col min="15105" max="15105" width="6.42578125" bestFit="1" customWidth="1"/>
    <col min="15106" max="15106" width="65.7109375" customWidth="1"/>
    <col min="15107" max="15107" width="5.28515625" bestFit="1" customWidth="1"/>
    <col min="15108" max="15108" width="23.85546875" customWidth="1"/>
    <col min="15109" max="15109" width="29" bestFit="1" customWidth="1"/>
    <col min="15110" max="15110" width="26" bestFit="1" customWidth="1"/>
    <col min="15111" max="15111" width="26.5703125" bestFit="1" customWidth="1"/>
    <col min="15112" max="15112" width="16.28515625" customWidth="1"/>
    <col min="15113" max="15113" width="29.5703125" customWidth="1"/>
    <col min="15114" max="15114" width="21.85546875" customWidth="1"/>
    <col min="15115" max="15115" width="30" bestFit="1" customWidth="1"/>
    <col min="15116" max="15116" width="23.5703125" bestFit="1" customWidth="1"/>
    <col min="15117" max="15117" width="13.85546875" bestFit="1" customWidth="1"/>
    <col min="15118" max="15118" width="14.42578125" bestFit="1" customWidth="1"/>
    <col min="15361" max="15361" width="6.42578125" bestFit="1" customWidth="1"/>
    <col min="15362" max="15362" width="65.7109375" customWidth="1"/>
    <col min="15363" max="15363" width="5.28515625" bestFit="1" customWidth="1"/>
    <col min="15364" max="15364" width="23.85546875" customWidth="1"/>
    <col min="15365" max="15365" width="29" bestFit="1" customWidth="1"/>
    <col min="15366" max="15366" width="26" bestFit="1" customWidth="1"/>
    <col min="15367" max="15367" width="26.5703125" bestFit="1" customWidth="1"/>
    <col min="15368" max="15368" width="16.28515625" customWidth="1"/>
    <col min="15369" max="15369" width="29.5703125" customWidth="1"/>
    <col min="15370" max="15370" width="21.85546875" customWidth="1"/>
    <col min="15371" max="15371" width="30" bestFit="1" customWidth="1"/>
    <col min="15372" max="15372" width="23.5703125" bestFit="1" customWidth="1"/>
    <col min="15373" max="15373" width="13.85546875" bestFit="1" customWidth="1"/>
    <col min="15374" max="15374" width="14.42578125" bestFit="1" customWidth="1"/>
    <col min="15617" max="15617" width="6.42578125" bestFit="1" customWidth="1"/>
    <col min="15618" max="15618" width="65.7109375" customWidth="1"/>
    <col min="15619" max="15619" width="5.28515625" bestFit="1" customWidth="1"/>
    <col min="15620" max="15620" width="23.85546875" customWidth="1"/>
    <col min="15621" max="15621" width="29" bestFit="1" customWidth="1"/>
    <col min="15622" max="15622" width="26" bestFit="1" customWidth="1"/>
    <col min="15623" max="15623" width="26.5703125" bestFit="1" customWidth="1"/>
    <col min="15624" max="15624" width="16.28515625" customWidth="1"/>
    <col min="15625" max="15625" width="29.5703125" customWidth="1"/>
    <col min="15626" max="15626" width="21.85546875" customWidth="1"/>
    <col min="15627" max="15627" width="30" bestFit="1" customWidth="1"/>
    <col min="15628" max="15628" width="23.5703125" bestFit="1" customWidth="1"/>
    <col min="15629" max="15629" width="13.85546875" bestFit="1" customWidth="1"/>
    <col min="15630" max="15630" width="14.42578125" bestFit="1" customWidth="1"/>
    <col min="15873" max="15873" width="6.42578125" bestFit="1" customWidth="1"/>
    <col min="15874" max="15874" width="65.7109375" customWidth="1"/>
    <col min="15875" max="15875" width="5.28515625" bestFit="1" customWidth="1"/>
    <col min="15876" max="15876" width="23.85546875" customWidth="1"/>
    <col min="15877" max="15877" width="29" bestFit="1" customWidth="1"/>
    <col min="15878" max="15878" width="26" bestFit="1" customWidth="1"/>
    <col min="15879" max="15879" width="26.5703125" bestFit="1" customWidth="1"/>
    <col min="15880" max="15880" width="16.28515625" customWidth="1"/>
    <col min="15881" max="15881" width="29.5703125" customWidth="1"/>
    <col min="15882" max="15882" width="21.85546875" customWidth="1"/>
    <col min="15883" max="15883" width="30" bestFit="1" customWidth="1"/>
    <col min="15884" max="15884" width="23.5703125" bestFit="1" customWidth="1"/>
    <col min="15885" max="15885" width="13.85546875" bestFit="1" customWidth="1"/>
    <col min="15886" max="15886" width="14.42578125" bestFit="1" customWidth="1"/>
    <col min="16129" max="16129" width="6.42578125" bestFit="1" customWidth="1"/>
    <col min="16130" max="16130" width="65.7109375" customWidth="1"/>
    <col min="16131" max="16131" width="5.28515625" bestFit="1" customWidth="1"/>
    <col min="16132" max="16132" width="23.85546875" customWidth="1"/>
    <col min="16133" max="16133" width="29" bestFit="1" customWidth="1"/>
    <col min="16134" max="16134" width="26" bestFit="1" customWidth="1"/>
    <col min="16135" max="16135" width="26.5703125" bestFit="1" customWidth="1"/>
    <col min="16136" max="16136" width="16.28515625" customWidth="1"/>
    <col min="16137" max="16137" width="29.5703125" customWidth="1"/>
    <col min="16138" max="16138" width="21.85546875" customWidth="1"/>
    <col min="16139" max="16139" width="30" bestFit="1" customWidth="1"/>
    <col min="16140" max="16140" width="23.5703125" bestFit="1" customWidth="1"/>
    <col min="16141" max="16141" width="13.85546875" bestFit="1" customWidth="1"/>
    <col min="16142" max="16142" width="14.42578125" bestFit="1" customWidth="1"/>
  </cols>
  <sheetData>
    <row r="1" spans="1:22" s="5" customFormat="1" ht="12" x14ac:dyDescent="0.2">
      <c r="A1" s="6" t="s">
        <v>509</v>
      </c>
      <c r="B1" s="6" t="s">
        <v>505</v>
      </c>
      <c r="C1" s="6" t="s">
        <v>552</v>
      </c>
      <c r="D1" s="6" t="s">
        <v>510</v>
      </c>
      <c r="E1" s="6" t="s">
        <v>511</v>
      </c>
      <c r="F1" s="6" t="s">
        <v>512</v>
      </c>
      <c r="G1" s="6" t="s">
        <v>513</v>
      </c>
      <c r="H1" s="6" t="s">
        <v>514</v>
      </c>
      <c r="I1" s="6" t="s">
        <v>515</v>
      </c>
      <c r="J1" s="6" t="s">
        <v>516</v>
      </c>
      <c r="K1" s="6" t="s">
        <v>517</v>
      </c>
      <c r="L1" s="6" t="s">
        <v>518</v>
      </c>
      <c r="M1" s="6" t="s">
        <v>519</v>
      </c>
      <c r="N1" s="6" t="s">
        <v>520</v>
      </c>
      <c r="O1" s="6" t="s">
        <v>521</v>
      </c>
      <c r="P1" s="6" t="s">
        <v>522</v>
      </c>
      <c r="Q1" s="6" t="s">
        <v>523</v>
      </c>
      <c r="R1" s="6" t="s">
        <v>524</v>
      </c>
      <c r="S1" s="6" t="s">
        <v>525</v>
      </c>
      <c r="T1" s="6" t="s">
        <v>526</v>
      </c>
      <c r="U1" s="6" t="s">
        <v>527</v>
      </c>
      <c r="V1" s="6" t="s">
        <v>528</v>
      </c>
    </row>
    <row r="2" spans="1:22" x14ac:dyDescent="0.25">
      <c r="A2" s="3">
        <v>1</v>
      </c>
      <c r="B2" s="8" t="s">
        <v>557</v>
      </c>
      <c r="C2" s="12"/>
      <c r="D2" s="16" t="s">
        <v>95</v>
      </c>
      <c r="E2" s="11" t="str">
        <f>IFERROR(IF(VLOOKUP($D2,DoNotTouch!$B:$Y,2,FALSE)&lt;&gt;0,(VLOOKUP($D2,DoNotTouch!$B:$Y,2,FALSE)),""),"")</f>
        <v/>
      </c>
      <c r="F2" s="11" t="str">
        <f>IFERROR(IF(VLOOKUP($D2,DoNotTouch!$B:$Y,3,FALSE)&lt;&gt;0,(VLOOKUP($D2,DoNotTouch!$B:$Y,3,FALSE)),""),"")</f>
        <v/>
      </c>
      <c r="G2" s="11" t="str">
        <f>IFERROR(IF(VLOOKUP($D2,DoNotTouch!$B:$Y,4,FALSE)&lt;&gt;0,(VLOOKUP($D2,DoNotTouch!$B:$Y,4,FALSE)),""),"")</f>
        <v/>
      </c>
      <c r="H2" s="11" t="str">
        <f>IFERROR(IF(VLOOKUP($D2,DoNotTouch!$B:$Y,5,FALSE)&lt;&gt;0,(VLOOKUP($D2,DoNotTouch!$B:$Y,5,FALSE)),""),"")</f>
        <v/>
      </c>
      <c r="I2" s="11" t="str">
        <f>IFERROR(IF(VLOOKUP($D2,DoNotTouch!$B:$Y,6,FALSE)&lt;&gt;0,(VLOOKUP($D2,DoNotTouch!$B:$Y,6,FALSE)),""),"")</f>
        <v/>
      </c>
      <c r="J2" s="11" t="str">
        <f>IFERROR(IF(VLOOKUP($D2,DoNotTouch!$B:$Y,7,FALSE)&lt;&gt;0,(VLOOKUP($D2,DoNotTouch!$B:$Y,7,FALSE)),""),"")</f>
        <v/>
      </c>
      <c r="K2" s="11" t="str">
        <f>IFERROR(IF(VLOOKUP($D2,DoNotTouch!$B:$Y,8,FALSE)&lt;&gt;0,(VLOOKUP($D2,DoNotTouch!$B:$Y,8,FALSE)),""),"")</f>
        <v/>
      </c>
      <c r="L2" s="11" t="str">
        <f>IFERROR(IF(VLOOKUP($D2,DoNotTouch!$B:$Y,9,FALSE)&lt;&gt;0,(VLOOKUP($D2,DoNotTouch!$B:$Y,9,FALSE)),""),"")</f>
        <v/>
      </c>
      <c r="M2" s="11" t="str">
        <f>IFERROR(IF(VLOOKUP($D2,DoNotTouch!$B:$Y,10,FALSE)&lt;&gt;0,(VLOOKUP($D2,DoNotTouch!$B:$Y,10,FALSE)),""),"")</f>
        <v/>
      </c>
      <c r="N2" s="11" t="str">
        <f>IFERROR(IF(VLOOKUP($D2,DoNotTouch!$B:$Y,11,FALSE)&lt;&gt;0,(VLOOKUP($D2,DoNotTouch!$B:$Y,11,FALSE)),""),"")</f>
        <v/>
      </c>
      <c r="O2" s="11" t="str">
        <f>IFERROR(IF(VLOOKUP($D2,DoNotTouch!$B:$Y,12,FALSE)&lt;&gt;0,(VLOOKUP($D2,DoNotTouch!$B:$Y,12,FALSE)),""),"")</f>
        <v/>
      </c>
      <c r="P2" s="11" t="str">
        <f>IFERROR(IF(VLOOKUP($D2,DoNotTouch!$B:$Y,13,FALSE)&lt;&gt;0,(VLOOKUP($D2,DoNotTouch!$B:$Y,13,FALSE)),""),"")</f>
        <v/>
      </c>
      <c r="Q2" s="11" t="str">
        <f>IFERROR(IF(VLOOKUP($D2,DoNotTouch!$B:$Y,14,FALSE)&lt;&gt;0,(VLOOKUP($D2,DoNotTouch!$B:$Y,14,FALSE)),""),"")</f>
        <v/>
      </c>
      <c r="R2" s="11" t="str">
        <f>IFERROR(IF(VLOOKUP($D2,DoNotTouch!$B:$Y,15,FALSE)&lt;&gt;0,(VLOOKUP($D2,DoNotTouch!$B:$Y,15,FALSE)),""),"")</f>
        <v/>
      </c>
      <c r="S2" s="11" t="str">
        <f>IFERROR(IF(VLOOKUP($D2,DoNotTouch!$B:$Y,16,FALSE)&lt;&gt;0,(VLOOKUP($D2,DoNotTouch!$B:$Y,16,FALSE)),""),"")</f>
        <v/>
      </c>
      <c r="T2" s="11" t="str">
        <f>IFERROR(IF(VLOOKUP($D2,DoNotTouch!$B:$Y,17,FALSE)&lt;&gt;0,(VLOOKUP($D2,DoNotTouch!$B:$Y,17,FALSE)),""),"")</f>
        <v/>
      </c>
      <c r="U2" s="11" t="str">
        <f>IFERROR(IF(VLOOKUP($D2,DoNotTouch!$B:$Y,18,FALSE)&lt;&gt;0,(VLOOKUP($D2,DoNotTouch!$B:$Y,18,FALSE)),""),"")</f>
        <v/>
      </c>
      <c r="V2" s="8" t="str">
        <f>IFERROR(IF(VLOOKUP($D2,DoNotTouch!$B:$Y,19,FALSE)&lt;&gt;0,(VLOOKUP($D2,DoNotTouch!$B:$Y,19,FALSE)),""),"")</f>
        <v/>
      </c>
    </row>
    <row r="3" spans="1:22" x14ac:dyDescent="0.25">
      <c r="A3" s="3">
        <v>2</v>
      </c>
      <c r="B3" s="9" t="s">
        <v>557</v>
      </c>
      <c r="C3" s="12" t="s">
        <v>553</v>
      </c>
      <c r="D3" s="16"/>
      <c r="E3" s="11" t="str">
        <f>IFERROR(IF(VLOOKUP($D3,DoNotTouch!$B:$Y,2,FALSE)&lt;&gt;0,(VLOOKUP($D3,DoNotTouch!$B:$Y,2,FALSE)),""),"")</f>
        <v/>
      </c>
      <c r="F3" s="11" t="str">
        <f>IFERROR(IF(VLOOKUP($D3,DoNotTouch!$B:$Y,3,FALSE)&lt;&gt;0,(VLOOKUP($D3,DoNotTouch!$B:$Y,3,FALSE)),""),"")</f>
        <v/>
      </c>
      <c r="G3" s="11" t="str">
        <f>IFERROR(IF(VLOOKUP($D3,DoNotTouch!$B:$Y,4,FALSE)&lt;&gt;0,(VLOOKUP($D3,DoNotTouch!$B:$Y,4,FALSE)),""),"")</f>
        <v/>
      </c>
      <c r="H3" s="11" t="str">
        <f>IFERROR(IF(VLOOKUP($D3,DoNotTouch!$B:$Y,5,FALSE)&lt;&gt;0,(VLOOKUP($D3,DoNotTouch!$B:$Y,5,FALSE)),""),"")</f>
        <v/>
      </c>
      <c r="I3" s="11" t="str">
        <f>IFERROR(IF(VLOOKUP($D3,DoNotTouch!$B:$Y,6,FALSE)&lt;&gt;0,(VLOOKUP($D3,DoNotTouch!$B:$Y,6,FALSE)),""),"")</f>
        <v/>
      </c>
      <c r="J3" s="11" t="str">
        <f>IFERROR(IF(VLOOKUP($D3,DoNotTouch!$B:$Y,7,FALSE)&lt;&gt;0,(VLOOKUP($D3,DoNotTouch!$B:$Y,7,FALSE)),""),"")</f>
        <v/>
      </c>
      <c r="K3" s="11" t="str">
        <f>IFERROR(IF(VLOOKUP($D3,DoNotTouch!$B:$Y,8,FALSE)&lt;&gt;0,(VLOOKUP($D3,DoNotTouch!$B:$Y,8,FALSE)),""),"")</f>
        <v/>
      </c>
      <c r="L3" s="11" t="str">
        <f>IFERROR(IF(VLOOKUP($D3,DoNotTouch!$B:$Y,9,FALSE)&lt;&gt;0,(VLOOKUP($D3,DoNotTouch!$B:$Y,9,FALSE)),""),"")</f>
        <v/>
      </c>
      <c r="M3" s="11" t="str">
        <f>IFERROR(IF(VLOOKUP($D3,DoNotTouch!$B:$Y,10,FALSE)&lt;&gt;0,(VLOOKUP($D3,DoNotTouch!$B:$Y,10,FALSE)),""),"")</f>
        <v/>
      </c>
      <c r="N3" s="11" t="str">
        <f>IFERROR(IF(VLOOKUP($D3,DoNotTouch!$B:$Y,11,FALSE)&lt;&gt;0,(VLOOKUP($D3,DoNotTouch!$B:$Y,11,FALSE)),""),"")</f>
        <v/>
      </c>
      <c r="O3" s="11" t="str">
        <f>IFERROR(IF(VLOOKUP($D3,DoNotTouch!$B:$Y,12,FALSE)&lt;&gt;0,(VLOOKUP($D3,DoNotTouch!$B:$Y,12,FALSE)),""),"")</f>
        <v/>
      </c>
      <c r="P3" s="11" t="str">
        <f>IFERROR(IF(VLOOKUP($D3,DoNotTouch!$B:$Y,13,FALSE)&lt;&gt;0,(VLOOKUP($D3,DoNotTouch!$B:$Y,13,FALSE)),""),"")</f>
        <v/>
      </c>
      <c r="Q3" s="11" t="str">
        <f>IFERROR(IF(VLOOKUP($D3,DoNotTouch!$B:$Y,14,FALSE)&lt;&gt;0,(VLOOKUP($D3,DoNotTouch!$B:$Y,14,FALSE)),""),"")</f>
        <v/>
      </c>
      <c r="R3" s="11" t="str">
        <f>IFERROR(IF(VLOOKUP($D3,DoNotTouch!$B:$Y,15,FALSE)&lt;&gt;0,(VLOOKUP($D3,DoNotTouch!$B:$Y,15,FALSE)),""),"")</f>
        <v/>
      </c>
      <c r="S3" s="11" t="str">
        <f>IFERROR(IF(VLOOKUP($D3,DoNotTouch!$B:$Y,16,FALSE)&lt;&gt;0,(VLOOKUP($D3,DoNotTouch!$B:$Y,16,FALSE)),""),"")</f>
        <v/>
      </c>
      <c r="T3" s="11" t="str">
        <f>IFERROR(IF(VLOOKUP($D3,DoNotTouch!$B:$Y,17,FALSE)&lt;&gt;0,(VLOOKUP($D3,DoNotTouch!$B:$Y,17,FALSE)),""),"")</f>
        <v/>
      </c>
      <c r="U3" s="11" t="str">
        <f>IFERROR(IF(VLOOKUP($D3,DoNotTouch!$B:$Y,18,FALSE)&lt;&gt;0,(VLOOKUP($D3,DoNotTouch!$B:$Y,18,FALSE)),""),"")</f>
        <v/>
      </c>
      <c r="V3" s="8" t="str">
        <f>IFERROR(IF(VLOOKUP($D3,DoNotTouch!$B:$Y,19,FALSE)&lt;&gt;0,(VLOOKUP($D3,DoNotTouch!$B:$Y,19,FALSE)),""),"")</f>
        <v/>
      </c>
    </row>
    <row r="4" spans="1:22" x14ac:dyDescent="0.25">
      <c r="A4" s="3">
        <v>3</v>
      </c>
      <c r="B4" s="9" t="s">
        <v>557</v>
      </c>
      <c r="C4" s="12" t="s">
        <v>484</v>
      </c>
      <c r="D4" s="16" t="s">
        <v>49</v>
      </c>
      <c r="E4" s="11" t="str">
        <f>IFERROR(IF(VLOOKUP($D4,DoNotTouch!$B:$Y,2,FALSE)&lt;&gt;0,(VLOOKUP($D4,DoNotTouch!$B:$Y,2,FALSE)),""),"")</f>
        <v>MO: Interchange ID</v>
      </c>
      <c r="F4" s="11" t="str">
        <f>IFERROR(IF(VLOOKUP($D4,DoNotTouch!$B:$Y,3,FALSE)&lt;&gt;0,(VLOOKUP($D4,DoNotTouch!$B:$Y,3,FALSE)),""),"")</f>
        <v>MO: Instruction ID</v>
      </c>
      <c r="G4" s="11" t="str">
        <f>IFERROR(IF(VLOOKUP($D4,DoNotTouch!$B:$Y,4,FALSE)&lt;&gt;0,(VLOOKUP($D4,DoNotTouch!$B:$Y,4,FALSE)),""),"")</f>
        <v>MO: Transaction ID</v>
      </c>
      <c r="H4" s="11" t="str">
        <f>IFERROR(IF(VLOOKUP($D4,DoNotTouch!$B:$Y,5,FALSE)&lt;&gt;0,(VLOOKUP($D4,DoNotTouch!$B:$Y,5,FALSE)),""),"")</f>
        <v/>
      </c>
      <c r="I4" s="11" t="str">
        <f>IFERROR(IF(VLOOKUP($D4,DoNotTouch!$B:$Y,6,FALSE)&lt;&gt;0,(VLOOKUP($D4,DoNotTouch!$B:$Y,6,FALSE)),""),"")</f>
        <v/>
      </c>
      <c r="J4" s="11" t="str">
        <f>IFERROR(IF(VLOOKUP($D4,DoNotTouch!$B:$Y,7,FALSE)&lt;&gt;0,(VLOOKUP($D4,DoNotTouch!$B:$Y,7,FALSE)),""),"")</f>
        <v/>
      </c>
      <c r="K4" s="11" t="str">
        <f>IFERROR(IF(VLOOKUP($D4,DoNotTouch!$B:$Y,8,FALSE)&lt;&gt;0,(VLOOKUP($D4,DoNotTouch!$B:$Y,8,FALSE)),""),"")</f>
        <v/>
      </c>
      <c r="L4" s="11" t="str">
        <f>IFERROR(IF(VLOOKUP($D4,DoNotTouch!$B:$Y,9,FALSE)&lt;&gt;0,(VLOOKUP($D4,DoNotTouch!$B:$Y,9,FALSE)),""),"")</f>
        <v/>
      </c>
      <c r="M4" s="11" t="str">
        <f>IFERROR(IF(VLOOKUP($D4,DoNotTouch!$B:$Y,10,FALSE)&lt;&gt;0,(VLOOKUP($D4,DoNotTouch!$B:$Y,10,FALSE)),""),"")</f>
        <v/>
      </c>
      <c r="N4" s="11" t="str">
        <f>IFERROR(IF(VLOOKUP($D4,DoNotTouch!$B:$Y,11,FALSE)&lt;&gt;0,(VLOOKUP($D4,DoNotTouch!$B:$Y,11,FALSE)),""),"")</f>
        <v/>
      </c>
      <c r="O4" s="11" t="str">
        <f>IFERROR(IF(VLOOKUP($D4,DoNotTouch!$B:$Y,12,FALSE)&lt;&gt;0,(VLOOKUP($D4,DoNotTouch!$B:$Y,12,FALSE)),""),"")</f>
        <v/>
      </c>
      <c r="P4" s="11" t="str">
        <f>IFERROR(IF(VLOOKUP($D4,DoNotTouch!$B:$Y,13,FALSE)&lt;&gt;0,(VLOOKUP($D4,DoNotTouch!$B:$Y,13,FALSE)),""),"")</f>
        <v/>
      </c>
      <c r="Q4" s="11" t="str">
        <f>IFERROR(IF(VLOOKUP($D4,DoNotTouch!$B:$Y,14,FALSE)&lt;&gt;0,(VLOOKUP($D4,DoNotTouch!$B:$Y,14,FALSE)),""),"")</f>
        <v/>
      </c>
      <c r="R4" s="11" t="str">
        <f>IFERROR(IF(VLOOKUP($D4,DoNotTouch!$B:$Y,15,FALSE)&lt;&gt;0,(VLOOKUP($D4,DoNotTouch!$B:$Y,15,FALSE)),""),"")</f>
        <v/>
      </c>
      <c r="S4" s="11" t="str">
        <f>IFERROR(IF(VLOOKUP($D4,DoNotTouch!$B:$Y,16,FALSE)&lt;&gt;0,(VLOOKUP($D4,DoNotTouch!$B:$Y,16,FALSE)),""),"")</f>
        <v/>
      </c>
      <c r="T4" s="11" t="str">
        <f>IFERROR(IF(VLOOKUP($D4,DoNotTouch!$B:$Y,17,FALSE)&lt;&gt;0,(VLOOKUP($D4,DoNotTouch!$B:$Y,17,FALSE)),""),"")</f>
        <v/>
      </c>
      <c r="U4" s="11" t="str">
        <f>IFERROR(IF(VLOOKUP($D4,DoNotTouch!$B:$Y,18,FALSE)&lt;&gt;0,(VLOOKUP($D4,DoNotTouch!$B:$Y,18,FALSE)),""),"")</f>
        <v/>
      </c>
      <c r="V4" s="8" t="str">
        <f>IFERROR(IF(VLOOKUP($D4,DoNotTouch!$B:$Y,19,FALSE)&lt;&gt;0,(VLOOKUP($D4,DoNotTouch!$B:$Y,19,FALSE)),""),"")</f>
        <v/>
      </c>
    </row>
    <row r="5" spans="1:22" x14ac:dyDescent="0.25">
      <c r="A5" s="3">
        <v>4</v>
      </c>
      <c r="B5" s="9" t="s">
        <v>557</v>
      </c>
      <c r="C5" s="12" t="s">
        <v>551</v>
      </c>
      <c r="D5" s="16" t="s">
        <v>62</v>
      </c>
      <c r="E5" s="11" t="str">
        <f>IFERROR(IF(VLOOKUP($D5,DoNotTouch!$B:$Y,2,FALSE)&lt;&gt;0,(VLOOKUP($D5,DoNotTouch!$B:$Y,2,FALSE)),""),"")</f>
        <v>MI: TRANSACTION_APPROVAL</v>
      </c>
      <c r="F5" s="11" t="str">
        <f>IFERROR(IF(VLOOKUP($D5,DoNotTouch!$B:$Y,3,FALSE)&lt;&gt;0,(VLOOKUP($D5,DoNotTouch!$B:$Y,3,FALSE)),""),"")</f>
        <v>MO: APPROVE</v>
      </c>
      <c r="G5" s="11" t="str">
        <f>IFERROR(IF(VLOOKUP($D5,DoNotTouch!$B:$Y,4,FALSE)&lt;&gt;0,(VLOOKUP($D5,DoNotTouch!$B:$Y,4,FALSE)),""),"")</f>
        <v/>
      </c>
      <c r="H5" s="11" t="str">
        <f>IFERROR(IF(VLOOKUP($D5,DoNotTouch!$B:$Y,5,FALSE)&lt;&gt;0,(VLOOKUP($D5,DoNotTouch!$B:$Y,5,FALSE)),""),"")</f>
        <v/>
      </c>
      <c r="I5" s="11" t="str">
        <f>IFERROR(IF(VLOOKUP($D5,DoNotTouch!$B:$Y,6,FALSE)&lt;&gt;0,(VLOOKUP($D5,DoNotTouch!$B:$Y,6,FALSE)),""),"")</f>
        <v/>
      </c>
      <c r="J5" s="11" t="str">
        <f>IFERROR(IF(VLOOKUP($D5,DoNotTouch!$B:$Y,7,FALSE)&lt;&gt;0,(VLOOKUP($D5,DoNotTouch!$B:$Y,7,FALSE)),""),"")</f>
        <v/>
      </c>
      <c r="K5" s="11" t="str">
        <f>IFERROR(IF(VLOOKUP($D5,DoNotTouch!$B:$Y,8,FALSE)&lt;&gt;0,(VLOOKUP($D5,DoNotTouch!$B:$Y,8,FALSE)),""),"")</f>
        <v/>
      </c>
      <c r="L5" s="11" t="str">
        <f>IFERROR(IF(VLOOKUP($D5,DoNotTouch!$B:$Y,9,FALSE)&lt;&gt;0,(VLOOKUP($D5,DoNotTouch!$B:$Y,9,FALSE)),""),"")</f>
        <v/>
      </c>
      <c r="M5" s="11" t="str">
        <f>IFERROR(IF(VLOOKUP($D5,DoNotTouch!$B:$Y,10,FALSE)&lt;&gt;0,(VLOOKUP($D5,DoNotTouch!$B:$Y,10,FALSE)),""),"")</f>
        <v/>
      </c>
      <c r="N5" s="11" t="str">
        <f>IFERROR(IF(VLOOKUP($D5,DoNotTouch!$B:$Y,11,FALSE)&lt;&gt;0,(VLOOKUP($D5,DoNotTouch!$B:$Y,11,FALSE)),""),"")</f>
        <v/>
      </c>
      <c r="O5" s="11" t="str">
        <f>IFERROR(IF(VLOOKUP($D5,DoNotTouch!$B:$Y,12,FALSE)&lt;&gt;0,(VLOOKUP($D5,DoNotTouch!$B:$Y,12,FALSE)),""),"")</f>
        <v/>
      </c>
      <c r="P5" s="11" t="str">
        <f>IFERROR(IF(VLOOKUP($D5,DoNotTouch!$B:$Y,13,FALSE)&lt;&gt;0,(VLOOKUP($D5,DoNotTouch!$B:$Y,13,FALSE)),""),"")</f>
        <v/>
      </c>
      <c r="Q5" s="11" t="str">
        <f>IFERROR(IF(VLOOKUP($D5,DoNotTouch!$B:$Y,14,FALSE)&lt;&gt;0,(VLOOKUP($D5,DoNotTouch!$B:$Y,14,FALSE)),""),"")</f>
        <v/>
      </c>
      <c r="R5" s="11" t="str">
        <f>IFERROR(IF(VLOOKUP($D5,DoNotTouch!$B:$Y,15,FALSE)&lt;&gt;0,(VLOOKUP($D5,DoNotTouch!$B:$Y,15,FALSE)),""),"")</f>
        <v/>
      </c>
      <c r="S5" s="11" t="str">
        <f>IFERROR(IF(VLOOKUP($D5,DoNotTouch!$B:$Y,16,FALSE)&lt;&gt;0,(VLOOKUP($D5,DoNotTouch!$B:$Y,16,FALSE)),""),"")</f>
        <v/>
      </c>
      <c r="T5" s="11" t="str">
        <f>IFERROR(IF(VLOOKUP($D5,DoNotTouch!$B:$Y,17,FALSE)&lt;&gt;0,(VLOOKUP($D5,DoNotTouch!$B:$Y,17,FALSE)),""),"")</f>
        <v/>
      </c>
      <c r="U5" s="11" t="str">
        <f>IFERROR(IF(VLOOKUP($D5,DoNotTouch!$B:$Y,18,FALSE)&lt;&gt;0,(VLOOKUP($D5,DoNotTouch!$B:$Y,18,FALSE)),""),"")</f>
        <v/>
      </c>
      <c r="V5" s="8" t="str">
        <f>IFERROR(IF(VLOOKUP($D5,DoNotTouch!$B:$Y,19,FALSE)&lt;&gt;0,(VLOOKUP($D5,DoNotTouch!$B:$Y,19,FALSE)),""),"")</f>
        <v/>
      </c>
    </row>
    <row r="6" spans="1:22" x14ac:dyDescent="0.25">
      <c r="A6" s="3">
        <v>5</v>
      </c>
      <c r="B6" s="9" t="s">
        <v>557</v>
      </c>
      <c r="C6" s="12"/>
      <c r="D6" s="16" t="s">
        <v>6</v>
      </c>
      <c r="E6" s="11" t="str">
        <f>IFERROR(IF(VLOOKUP($D6,DoNotTouch!$B:$Y,2,FALSE)&lt;&gt;0,(VLOOKUP($D6,DoNotTouch!$B:$Y,2,FALSE)),""),"")</f>
        <v/>
      </c>
      <c r="F6" s="11" t="str">
        <f>IFERROR(IF(VLOOKUP($D6,DoNotTouch!$B:$Y,3,FALSE)&lt;&gt;0,(VLOOKUP($D6,DoNotTouch!$B:$Y,3,FALSE)),""),"")</f>
        <v/>
      </c>
      <c r="G6" s="11" t="str">
        <f>IFERROR(IF(VLOOKUP($D6,DoNotTouch!$B:$Y,4,FALSE)&lt;&gt;0,(VLOOKUP($D6,DoNotTouch!$B:$Y,4,FALSE)),""),"")</f>
        <v/>
      </c>
      <c r="H6" s="11" t="str">
        <f>IFERROR(IF(VLOOKUP($D6,DoNotTouch!$B:$Y,5,FALSE)&lt;&gt;0,(VLOOKUP($D6,DoNotTouch!$B:$Y,5,FALSE)),""),"")</f>
        <v/>
      </c>
      <c r="I6" s="11" t="str">
        <f>IFERROR(IF(VLOOKUP($D6,DoNotTouch!$B:$Y,6,FALSE)&lt;&gt;0,(VLOOKUP($D6,DoNotTouch!$B:$Y,6,FALSE)),""),"")</f>
        <v/>
      </c>
      <c r="J6" s="11" t="str">
        <f>IFERROR(IF(VLOOKUP($D6,DoNotTouch!$B:$Y,7,FALSE)&lt;&gt;0,(VLOOKUP($D6,DoNotTouch!$B:$Y,7,FALSE)),""),"")</f>
        <v/>
      </c>
      <c r="K6" s="11" t="str">
        <f>IFERROR(IF(VLOOKUP($D6,DoNotTouch!$B:$Y,8,FALSE)&lt;&gt;0,(VLOOKUP($D6,DoNotTouch!$B:$Y,8,FALSE)),""),"")</f>
        <v/>
      </c>
      <c r="L6" s="11" t="str">
        <f>IFERROR(IF(VLOOKUP($D6,DoNotTouch!$B:$Y,9,FALSE)&lt;&gt;0,(VLOOKUP($D6,DoNotTouch!$B:$Y,9,FALSE)),""),"")</f>
        <v/>
      </c>
      <c r="M6" s="11" t="str">
        <f>IFERROR(IF(VLOOKUP($D6,DoNotTouch!$B:$Y,10,FALSE)&lt;&gt;0,(VLOOKUP($D6,DoNotTouch!$B:$Y,10,FALSE)),""),"")</f>
        <v/>
      </c>
      <c r="N6" s="11" t="str">
        <f>IFERROR(IF(VLOOKUP($D6,DoNotTouch!$B:$Y,11,FALSE)&lt;&gt;0,(VLOOKUP($D6,DoNotTouch!$B:$Y,11,FALSE)),""),"")</f>
        <v/>
      </c>
      <c r="O6" s="11" t="str">
        <f>IFERROR(IF(VLOOKUP($D6,DoNotTouch!$B:$Y,12,FALSE)&lt;&gt;0,(VLOOKUP($D6,DoNotTouch!$B:$Y,12,FALSE)),""),"")</f>
        <v/>
      </c>
      <c r="P6" s="11" t="str">
        <f>IFERROR(IF(VLOOKUP($D6,DoNotTouch!$B:$Y,13,FALSE)&lt;&gt;0,(VLOOKUP($D6,DoNotTouch!$B:$Y,13,FALSE)),""),"")</f>
        <v/>
      </c>
      <c r="Q6" s="11" t="str">
        <f>IFERROR(IF(VLOOKUP($D6,DoNotTouch!$B:$Y,14,FALSE)&lt;&gt;0,(VLOOKUP($D6,DoNotTouch!$B:$Y,14,FALSE)),""),"")</f>
        <v/>
      </c>
      <c r="R6" s="11" t="str">
        <f>IFERROR(IF(VLOOKUP($D6,DoNotTouch!$B:$Y,15,FALSE)&lt;&gt;0,(VLOOKUP($D6,DoNotTouch!$B:$Y,15,FALSE)),""),"")</f>
        <v/>
      </c>
      <c r="S6" s="11" t="str">
        <f>IFERROR(IF(VLOOKUP($D6,DoNotTouch!$B:$Y,16,FALSE)&lt;&gt;0,(VLOOKUP($D6,DoNotTouch!$B:$Y,16,FALSE)),""),"")</f>
        <v/>
      </c>
      <c r="T6" s="11" t="str">
        <f>IFERROR(IF(VLOOKUP($D6,DoNotTouch!$B:$Y,17,FALSE)&lt;&gt;0,(VLOOKUP($D6,DoNotTouch!$B:$Y,17,FALSE)),""),"")</f>
        <v/>
      </c>
      <c r="U6" s="11" t="str">
        <f>IFERROR(IF(VLOOKUP($D6,DoNotTouch!$B:$Y,18,FALSE)&lt;&gt;0,(VLOOKUP($D6,DoNotTouch!$B:$Y,18,FALSE)),""),"")</f>
        <v/>
      </c>
      <c r="V6" s="8" t="str">
        <f>IFERROR(IF(VLOOKUP($D6,DoNotTouch!$B:$Y,19,FALSE)&lt;&gt;0,(VLOOKUP($D6,DoNotTouch!$B:$Y,19,FALSE)),""),"")</f>
        <v/>
      </c>
    </row>
    <row r="7" spans="1:22" x14ac:dyDescent="0.25">
      <c r="A7" s="14"/>
      <c r="B7" s="14"/>
      <c r="C7" s="14"/>
      <c r="D7" s="14"/>
      <c r="E7" s="14"/>
      <c r="F7" s="14"/>
      <c r="G7" s="14"/>
      <c r="H7" s="14"/>
      <c r="I7" s="14"/>
      <c r="J7" s="14"/>
      <c r="K7" s="14"/>
      <c r="L7" s="14"/>
      <c r="M7" s="14"/>
      <c r="N7" s="14"/>
      <c r="O7" s="14"/>
      <c r="P7" s="14"/>
      <c r="Q7" s="14"/>
      <c r="R7" s="14"/>
      <c r="S7" s="14"/>
      <c r="T7" s="14"/>
      <c r="U7" s="14"/>
      <c r="V7" s="14"/>
    </row>
  </sheetData>
  <dataConsolidate/>
  <dataValidations count="1">
    <dataValidation type="list" allowBlank="1" showInputMessage="1" sqref="D2:D6">
      <formula1>search</formula1>
    </dataValidation>
  </dataValidations>
  <pageMargins left="0.7" right="0.7" top="0.75" bottom="0.75" header="0.3" footer="0.3"/>
  <pageSetup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3" tint="0.39997558519241921"/>
  </sheetPr>
  <dimension ref="A1:B7"/>
  <sheetViews>
    <sheetView workbookViewId="0">
      <selection activeCell="D10" sqref="D10"/>
    </sheetView>
  </sheetViews>
  <sheetFormatPr defaultRowHeight="15" x14ac:dyDescent="0.25"/>
  <cols>
    <col min="2" max="2" width="48.7109375" customWidth="1"/>
    <col min="3" max="3" width="12.85546875" customWidth="1"/>
    <col min="4" max="4" width="13.42578125" customWidth="1"/>
  </cols>
  <sheetData>
    <row r="1" spans="1:2" x14ac:dyDescent="0.25">
      <c r="A1" s="13" t="s">
        <v>554</v>
      </c>
      <c r="B1" s="13" t="s">
        <v>505</v>
      </c>
    </row>
    <row r="2" spans="1:2" x14ac:dyDescent="0.25">
      <c r="A2" s="16">
        <v>1</v>
      </c>
      <c r="B2" s="16" t="s">
        <v>557</v>
      </c>
    </row>
    <row r="3" spans="1:2" x14ac:dyDescent="0.25">
      <c r="A3" s="16"/>
      <c r="B3" s="16"/>
    </row>
    <row r="4" spans="1:2" x14ac:dyDescent="0.25">
      <c r="A4" s="16"/>
      <c r="B4" s="16"/>
    </row>
    <row r="5" spans="1:2" x14ac:dyDescent="0.25">
      <c r="A5" s="16"/>
      <c r="B5" s="16"/>
    </row>
    <row r="6" spans="1:2" x14ac:dyDescent="0.25">
      <c r="A6" s="16"/>
      <c r="B6" s="16"/>
    </row>
    <row r="7" spans="1:2" x14ac:dyDescent="0.25">
      <c r="A7" s="16"/>
      <c r="B7" s="16"/>
    </row>
  </sheetData>
  <hyperlinks>
    <hyperlink ref="B1" r:id="rId1" display="TestCaseID@"/>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3" tint="0.59999389629810485"/>
  </sheetPr>
  <dimension ref="A1:B7"/>
  <sheetViews>
    <sheetView workbookViewId="0">
      <selection activeCell="B17" sqref="B17"/>
    </sheetView>
  </sheetViews>
  <sheetFormatPr defaultRowHeight="15" x14ac:dyDescent="0.25"/>
  <cols>
    <col min="1" max="1" width="6.28515625" customWidth="1"/>
    <col min="2" max="2" width="52" customWidth="1"/>
  </cols>
  <sheetData>
    <row r="1" spans="1:2" x14ac:dyDescent="0.25">
      <c r="A1" s="13" t="s">
        <v>554</v>
      </c>
      <c r="B1" s="13" t="s">
        <v>505</v>
      </c>
    </row>
    <row r="2" spans="1:2" x14ac:dyDescent="0.25">
      <c r="A2" s="16">
        <v>1</v>
      </c>
      <c r="B2" s="16" t="s">
        <v>557</v>
      </c>
    </row>
    <row r="3" spans="1:2" x14ac:dyDescent="0.25">
      <c r="A3" s="16"/>
      <c r="B3" s="16"/>
    </row>
    <row r="4" spans="1:2" x14ac:dyDescent="0.25">
      <c r="A4" s="16"/>
      <c r="B4" s="16"/>
    </row>
    <row r="5" spans="1:2" x14ac:dyDescent="0.25">
      <c r="A5" s="16"/>
      <c r="B5" s="16"/>
    </row>
    <row r="6" spans="1:2" x14ac:dyDescent="0.25">
      <c r="A6" s="16"/>
      <c r="B6" s="16"/>
    </row>
    <row r="7" spans="1:2" x14ac:dyDescent="0.25">
      <c r="A7" s="16"/>
      <c r="B7" s="16"/>
    </row>
  </sheetData>
  <hyperlinks>
    <hyperlink ref="B1" r:id="rId1" display="TestCaseID@"/>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tint="0.79998168889431442"/>
  </sheetPr>
  <dimension ref="A1:AU20"/>
  <sheetViews>
    <sheetView showGridLines="0" workbookViewId="0">
      <selection activeCell="A2" sqref="A2"/>
    </sheetView>
  </sheetViews>
  <sheetFormatPr defaultRowHeight="15" x14ac:dyDescent="0.25"/>
  <cols>
    <col min="1" max="1" width="5.5703125" bestFit="1" customWidth="1"/>
    <col min="2" max="2" width="44.28515625" customWidth="1"/>
    <col min="3" max="3" width="60.5703125" bestFit="1" customWidth="1"/>
    <col min="4" max="4" width="13.5703125" bestFit="1" customWidth="1"/>
    <col min="5" max="5" width="9.28515625" bestFit="1" customWidth="1"/>
    <col min="6" max="6" width="4" bestFit="1" customWidth="1"/>
    <col min="7" max="7" width="15.28515625" bestFit="1" customWidth="1"/>
    <col min="8" max="8" width="4.140625" bestFit="1" customWidth="1"/>
    <col min="9" max="9" width="15.28515625" bestFit="1" customWidth="1"/>
    <col min="10" max="10" width="4.140625" bestFit="1" customWidth="1"/>
    <col min="11" max="11" width="15.28515625" bestFit="1" customWidth="1"/>
    <col min="12" max="12" width="4.140625" bestFit="1" customWidth="1"/>
    <col min="13" max="13" width="15.28515625" bestFit="1" customWidth="1"/>
    <col min="14" max="14" width="4.140625" bestFit="1" customWidth="1"/>
    <col min="15" max="15" width="15.28515625" bestFit="1" customWidth="1"/>
    <col min="16" max="16" width="4.140625" bestFit="1" customWidth="1"/>
    <col min="17" max="17" width="15.28515625" bestFit="1" customWidth="1"/>
    <col min="18" max="18" width="4.140625" bestFit="1" customWidth="1"/>
    <col min="19" max="19" width="15.28515625" bestFit="1" customWidth="1"/>
    <col min="20" max="20" width="4.140625" bestFit="1" customWidth="1"/>
    <col min="21" max="21" width="15.28515625" bestFit="1" customWidth="1"/>
    <col min="22" max="22" width="4.140625" bestFit="1" customWidth="1"/>
    <col min="23" max="23" width="15.28515625" bestFit="1" customWidth="1"/>
    <col min="24" max="24" width="4.140625" bestFit="1" customWidth="1"/>
    <col min="25" max="25" width="15.28515625" bestFit="1" customWidth="1"/>
    <col min="26" max="26" width="5.140625" bestFit="1" customWidth="1"/>
    <col min="27" max="27" width="15.28515625" bestFit="1" customWidth="1"/>
    <col min="28" max="28" width="5.140625" bestFit="1" customWidth="1"/>
    <col min="29" max="29" width="15.28515625" bestFit="1" customWidth="1"/>
    <col min="30" max="30" width="5.140625" bestFit="1" customWidth="1"/>
    <col min="31" max="31" width="15.28515625" bestFit="1" customWidth="1"/>
    <col min="32" max="32" width="5.140625" bestFit="1" customWidth="1"/>
    <col min="33" max="33" width="15.28515625" bestFit="1" customWidth="1"/>
    <col min="34" max="34" width="5.140625" bestFit="1" customWidth="1"/>
    <col min="35" max="35" width="15.28515625" bestFit="1" customWidth="1"/>
    <col min="36" max="36" width="5.140625" bestFit="1" customWidth="1"/>
    <col min="37" max="37" width="15.28515625" bestFit="1" customWidth="1"/>
    <col min="38" max="38" width="5.140625" bestFit="1" customWidth="1"/>
    <col min="39" max="39" width="15.28515625" bestFit="1" customWidth="1"/>
    <col min="40" max="40" width="5.140625" bestFit="1" customWidth="1"/>
    <col min="41" max="41" width="15.28515625" bestFit="1" customWidth="1"/>
    <col min="42" max="42" width="5.140625" bestFit="1" customWidth="1"/>
    <col min="43" max="43" width="15.28515625" bestFit="1" customWidth="1"/>
    <col min="44" max="44" width="5.140625" bestFit="1" customWidth="1"/>
    <col min="45" max="45" width="16.7109375" bestFit="1" customWidth="1"/>
    <col min="46" max="46" width="5.140625" bestFit="1" customWidth="1"/>
    <col min="47" max="47" width="16.7109375" bestFit="1" customWidth="1"/>
  </cols>
  <sheetData>
    <row r="1" spans="1:47" ht="16.5" x14ac:dyDescent="0.35">
      <c r="A1" s="13" t="s">
        <v>554</v>
      </c>
      <c r="B1" s="13" t="s">
        <v>505</v>
      </c>
      <c r="C1" s="13" t="s">
        <v>506</v>
      </c>
      <c r="D1" s="13" t="s">
        <v>507</v>
      </c>
      <c r="E1" s="2" t="s">
        <v>529</v>
      </c>
      <c r="F1" s="1" t="s">
        <v>0</v>
      </c>
      <c r="G1" s="1" t="s">
        <v>530</v>
      </c>
      <c r="H1" s="1" t="s">
        <v>485</v>
      </c>
      <c r="I1" s="1" t="s">
        <v>531</v>
      </c>
      <c r="J1" s="1" t="s">
        <v>489</v>
      </c>
      <c r="K1" s="1" t="s">
        <v>532</v>
      </c>
      <c r="L1" s="1" t="s">
        <v>488</v>
      </c>
      <c r="M1" s="1" t="s">
        <v>533</v>
      </c>
      <c r="N1" s="1" t="s">
        <v>487</v>
      </c>
      <c r="O1" s="1" t="s">
        <v>534</v>
      </c>
      <c r="P1" s="1" t="s">
        <v>486</v>
      </c>
      <c r="Q1" s="1" t="s">
        <v>535</v>
      </c>
      <c r="R1" s="1" t="s">
        <v>490</v>
      </c>
      <c r="S1" s="1" t="s">
        <v>536</v>
      </c>
      <c r="T1" s="1" t="s">
        <v>491</v>
      </c>
      <c r="U1" s="1" t="s">
        <v>537</v>
      </c>
      <c r="V1" s="1" t="s">
        <v>492</v>
      </c>
      <c r="W1" s="1" t="s">
        <v>538</v>
      </c>
      <c r="X1" s="1" t="s">
        <v>493</v>
      </c>
      <c r="Y1" s="1" t="s">
        <v>539</v>
      </c>
      <c r="Z1" s="1" t="s">
        <v>494</v>
      </c>
      <c r="AA1" s="1" t="s">
        <v>540</v>
      </c>
      <c r="AB1" s="1" t="s">
        <v>495</v>
      </c>
      <c r="AC1" s="1" t="s">
        <v>541</v>
      </c>
      <c r="AD1" s="1" t="s">
        <v>496</v>
      </c>
      <c r="AE1" s="1" t="s">
        <v>542</v>
      </c>
      <c r="AF1" s="1" t="s">
        <v>497</v>
      </c>
      <c r="AG1" s="1" t="s">
        <v>543</v>
      </c>
      <c r="AH1" s="1" t="s">
        <v>498</v>
      </c>
      <c r="AI1" s="1" t="s">
        <v>544</v>
      </c>
      <c r="AJ1" s="1" t="s">
        <v>499</v>
      </c>
      <c r="AK1" s="1" t="s">
        <v>545</v>
      </c>
      <c r="AL1" s="1" t="s">
        <v>500</v>
      </c>
      <c r="AM1" s="1" t="s">
        <v>546</v>
      </c>
      <c r="AN1" s="1" t="s">
        <v>501</v>
      </c>
      <c r="AO1" s="1" t="s">
        <v>547</v>
      </c>
      <c r="AP1" s="1" t="s">
        <v>502</v>
      </c>
      <c r="AQ1" s="1" t="s">
        <v>548</v>
      </c>
      <c r="AR1" s="1" t="s">
        <v>503</v>
      </c>
      <c r="AS1" s="1" t="s">
        <v>549</v>
      </c>
      <c r="AT1" s="1" t="s">
        <v>504</v>
      </c>
      <c r="AU1" s="1" t="s">
        <v>550</v>
      </c>
    </row>
    <row r="2" spans="1:47" x14ac:dyDescent="0.25">
      <c r="A2" s="16">
        <v>1</v>
      </c>
      <c r="B2" s="16" t="s">
        <v>557</v>
      </c>
      <c r="C2" s="16" t="s">
        <v>1</v>
      </c>
      <c r="D2" s="16" t="s">
        <v>2</v>
      </c>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row>
    <row r="3" spans="1:47" x14ac:dyDescent="0.25">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row>
    <row r="4" spans="1:47" x14ac:dyDescent="0.25">
      <c r="A4" s="16"/>
      <c r="B4" s="16"/>
      <c r="C4" s="16"/>
      <c r="D4" s="16"/>
      <c r="E4" s="16"/>
      <c r="F4" s="16"/>
      <c r="G4" s="16"/>
      <c r="H4" s="16"/>
      <c r="I4" s="16"/>
      <c r="J4" s="16"/>
      <c r="K4" s="16"/>
      <c r="L4" s="16"/>
      <c r="M4" s="16"/>
      <c r="N4" s="16"/>
      <c r="O4" s="16"/>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row>
    <row r="5" spans="1:47" x14ac:dyDescent="0.25">
      <c r="A5" s="16"/>
      <c r="B5" s="16"/>
      <c r="C5" s="16"/>
      <c r="D5" s="16"/>
      <c r="E5" s="16"/>
      <c r="F5" s="16"/>
      <c r="G5" s="16"/>
      <c r="H5" s="16"/>
      <c r="I5" s="16"/>
      <c r="J5" s="16"/>
      <c r="K5" s="16"/>
      <c r="L5" s="16"/>
      <c r="M5" s="16"/>
      <c r="N5" s="16"/>
      <c r="O5" s="16"/>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row>
    <row r="6" spans="1:47" x14ac:dyDescent="0.25">
      <c r="A6" s="16"/>
      <c r="B6" s="16"/>
      <c r="C6" s="16"/>
      <c r="D6" s="16"/>
      <c r="E6" s="16"/>
      <c r="F6" s="16"/>
      <c r="G6" s="16"/>
      <c r="H6" s="16"/>
      <c r="I6" s="16"/>
      <c r="J6" s="16"/>
      <c r="K6" s="16"/>
      <c r="L6" s="16"/>
      <c r="M6" s="16"/>
      <c r="N6" s="16"/>
      <c r="O6" s="16"/>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row>
    <row r="7" spans="1:47" x14ac:dyDescent="0.25">
      <c r="A7" s="16"/>
      <c r="B7" s="16"/>
      <c r="C7" s="16"/>
      <c r="D7" s="16"/>
      <c r="E7" s="16"/>
      <c r="F7" s="16"/>
      <c r="G7" s="16"/>
      <c r="H7" s="16"/>
      <c r="I7" s="16"/>
      <c r="J7" s="16"/>
      <c r="K7" s="16"/>
      <c r="L7" s="16"/>
      <c r="M7" s="16"/>
      <c r="N7" s="16"/>
      <c r="O7" s="16"/>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row>
    <row r="8" spans="1:47" x14ac:dyDescent="0.25">
      <c r="A8" s="16"/>
      <c r="B8" s="16"/>
      <c r="C8" s="16"/>
      <c r="D8" s="16"/>
      <c r="E8" s="16"/>
      <c r="F8" s="16"/>
      <c r="G8" s="16"/>
      <c r="H8" s="16"/>
      <c r="I8" s="16"/>
      <c r="J8" s="16"/>
      <c r="K8" s="16"/>
      <c r="L8" s="16"/>
      <c r="M8" s="16"/>
      <c r="N8" s="16"/>
      <c r="O8" s="16"/>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row>
    <row r="9" spans="1:47" x14ac:dyDescent="0.25">
      <c r="A9" s="16"/>
      <c r="B9" s="16"/>
      <c r="C9" s="16"/>
      <c r="D9" s="16"/>
      <c r="E9" s="16"/>
      <c r="F9" s="16"/>
      <c r="G9" s="16"/>
      <c r="H9" s="16"/>
      <c r="I9" s="16"/>
      <c r="J9" s="16"/>
      <c r="K9" s="16"/>
      <c r="L9" s="16"/>
      <c r="M9" s="16"/>
      <c r="N9" s="16"/>
      <c r="O9" s="16"/>
      <c r="P9" s="16"/>
      <c r="Q9" s="16"/>
      <c r="R9" s="16"/>
      <c r="S9" s="16"/>
      <c r="T9" s="16"/>
      <c r="U9" s="16"/>
      <c r="V9" s="16"/>
      <c r="W9" s="16"/>
      <c r="X9" s="16"/>
      <c r="Y9" s="16"/>
      <c r="Z9" s="16"/>
      <c r="AA9" s="16"/>
      <c r="AB9" s="16"/>
      <c r="AC9" s="16"/>
      <c r="AD9" s="16"/>
      <c r="AE9" s="16"/>
      <c r="AF9" s="16"/>
      <c r="AG9" s="16"/>
      <c r="AH9" s="16"/>
      <c r="AI9" s="16"/>
      <c r="AJ9" s="16"/>
      <c r="AK9" s="16"/>
      <c r="AL9" s="16"/>
      <c r="AM9" s="16"/>
      <c r="AN9" s="16"/>
      <c r="AO9" s="16"/>
      <c r="AP9" s="16"/>
      <c r="AQ9" s="16"/>
      <c r="AR9" s="16"/>
      <c r="AS9" s="16"/>
      <c r="AT9" s="16"/>
      <c r="AU9" s="16"/>
    </row>
    <row r="10" spans="1:47" x14ac:dyDescent="0.25">
      <c r="A10" s="16"/>
      <c r="B10" s="16"/>
      <c r="C10" s="16"/>
      <c r="D10" s="16"/>
      <c r="E10" s="16"/>
      <c r="F10" s="16"/>
      <c r="G10" s="16"/>
      <c r="H10" s="16"/>
      <c r="I10" s="16"/>
      <c r="J10" s="16"/>
      <c r="K10" s="16"/>
      <c r="L10" s="16"/>
      <c r="M10" s="16"/>
      <c r="N10" s="16"/>
      <c r="O10" s="16"/>
      <c r="P10" s="16"/>
      <c r="Q10" s="16"/>
      <c r="R10" s="16"/>
      <c r="S10" s="16"/>
      <c r="T10" s="16"/>
      <c r="U10" s="16"/>
      <c r="V10" s="16"/>
      <c r="W10" s="1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row>
    <row r="11" spans="1:47" x14ac:dyDescent="0.25">
      <c r="A11" s="16"/>
      <c r="B11" s="16"/>
      <c r="C11" s="16"/>
      <c r="D11" s="16"/>
      <c r="E11" s="16"/>
      <c r="F11" s="16"/>
      <c r="G11" s="16"/>
      <c r="H11" s="16"/>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row>
    <row r="12" spans="1:47" x14ac:dyDescent="0.25">
      <c r="A12" s="16"/>
      <c r="B12" s="16"/>
      <c r="C12" s="16"/>
      <c r="D12" s="16"/>
      <c r="E12" s="16"/>
      <c r="F12" s="16"/>
      <c r="G12" s="16"/>
      <c r="H12" s="16"/>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row>
    <row r="13" spans="1:47" x14ac:dyDescent="0.25">
      <c r="A13" s="16"/>
      <c r="B13" s="16"/>
      <c r="C13" s="16"/>
      <c r="D13" s="16"/>
      <c r="E13" s="16"/>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row>
    <row r="14" spans="1:47" x14ac:dyDescent="0.25">
      <c r="A14" s="16"/>
      <c r="B14" s="16"/>
      <c r="C14" s="16"/>
      <c r="D14" s="16"/>
      <c r="E14" s="16"/>
      <c r="F14" s="16"/>
      <c r="G14" s="16"/>
      <c r="H14" s="16"/>
      <c r="I14" s="16"/>
      <c r="J14" s="16"/>
      <c r="K14" s="16"/>
      <c r="L14" s="16"/>
      <c r="M14" s="16"/>
      <c r="N14" s="16"/>
      <c r="O14" s="16"/>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row>
    <row r="15" spans="1:47" x14ac:dyDescent="0.25">
      <c r="A15" s="16"/>
      <c r="B15" s="16"/>
      <c r="C15" s="16"/>
      <c r="D15" s="16"/>
      <c r="E15" s="16"/>
      <c r="F15" s="16"/>
      <c r="G15" s="16"/>
      <c r="H15" s="16"/>
      <c r="I15" s="16"/>
      <c r="J15" s="16"/>
      <c r="K15" s="16"/>
      <c r="L15" s="16"/>
      <c r="M15" s="16"/>
      <c r="N15" s="16"/>
      <c r="O15" s="16"/>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row>
    <row r="16" spans="1:47" x14ac:dyDescent="0.25">
      <c r="A16" s="16"/>
      <c r="B16" s="16"/>
      <c r="C16" s="16"/>
      <c r="D16" s="16"/>
      <c r="E16" s="16"/>
      <c r="F16" s="16"/>
      <c r="G16" s="16"/>
      <c r="H16" s="16"/>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row>
    <row r="17" spans="1:47" x14ac:dyDescent="0.25">
      <c r="A17" s="16"/>
      <c r="B17" s="16"/>
      <c r="C17" s="16"/>
      <c r="D17" s="16"/>
      <c r="E17" s="16"/>
      <c r="F17" s="16"/>
      <c r="G17" s="16"/>
      <c r="H17" s="16"/>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row>
    <row r="18" spans="1:47" x14ac:dyDescent="0.25">
      <c r="A18" s="16"/>
      <c r="B18" s="16"/>
      <c r="C18" s="16"/>
      <c r="D18" s="16"/>
      <c r="E18" s="16"/>
      <c r="F18" s="16"/>
      <c r="G18" s="16"/>
      <c r="H18" s="16"/>
      <c r="I18" s="16"/>
      <c r="J18" s="16"/>
      <c r="K18" s="16"/>
      <c r="L18" s="16"/>
      <c r="M18" s="16"/>
      <c r="N18" s="16"/>
      <c r="O18" s="16"/>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row>
    <row r="19" spans="1:47" x14ac:dyDescent="0.25">
      <c r="A19" s="16"/>
      <c r="B19" s="16"/>
      <c r="C19" s="16"/>
      <c r="D19" s="16"/>
      <c r="E19" s="16"/>
      <c r="F19" s="16"/>
      <c r="G19" s="16"/>
      <c r="H19" s="16"/>
      <c r="I19" s="16"/>
      <c r="J19" s="16"/>
      <c r="K19" s="16"/>
      <c r="L19" s="16"/>
      <c r="M19" s="16"/>
      <c r="N19" s="16"/>
      <c r="O19" s="16"/>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row>
    <row r="20" spans="1:47" x14ac:dyDescent="0.25">
      <c r="A20" s="16"/>
      <c r="B20" s="16"/>
      <c r="C20" s="16"/>
      <c r="D20" s="16"/>
      <c r="E20" s="16"/>
      <c r="F20" s="16"/>
      <c r="G20" s="16"/>
      <c r="H20" s="16"/>
      <c r="I20" s="16"/>
      <c r="J20" s="16"/>
      <c r="K20" s="16"/>
      <c r="L20" s="16"/>
      <c r="M20" s="16"/>
      <c r="N20" s="16"/>
      <c r="O20" s="16"/>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row>
  </sheetData>
  <dataValidations count="1">
    <dataValidation type="list" allowBlank="1" showInputMessage="1" showErrorMessage="1" sqref="D2:D7">
      <formula1>Env</formula1>
    </dataValidation>
  </dataValidations>
  <hyperlinks>
    <hyperlink ref="B1" r:id="rId1" display="TestCaseID@"/>
  </hyperlinks>
  <pageMargins left="0.7" right="0.7" top="0.75" bottom="0.75" header="0.3" footer="0.3"/>
  <pageSetup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3" tint="0.79998168889431442"/>
  </sheetPr>
  <dimension ref="A1:V961"/>
  <sheetViews>
    <sheetView workbookViewId="0">
      <selection activeCell="B2" sqref="B2"/>
    </sheetView>
  </sheetViews>
  <sheetFormatPr defaultRowHeight="15" x14ac:dyDescent="0.25"/>
  <cols>
    <col min="1" max="1" width="6.140625" bestFit="1" customWidth="1"/>
    <col min="2" max="2" width="62.85546875" bestFit="1" customWidth="1"/>
    <col min="3" max="3" width="8.28515625" customWidth="1"/>
    <col min="4" max="4" width="36.85546875" bestFit="1" customWidth="1"/>
    <col min="5" max="5" width="29" bestFit="1" customWidth="1"/>
    <col min="6" max="6" width="26" bestFit="1" customWidth="1"/>
    <col min="7" max="7" width="26.5703125" bestFit="1" customWidth="1"/>
    <col min="8" max="8" width="24.5703125" customWidth="1"/>
    <col min="9" max="9" width="29.5703125" customWidth="1"/>
    <col min="10" max="10" width="21.85546875" customWidth="1"/>
    <col min="11" max="11" width="30" bestFit="1" customWidth="1"/>
    <col min="12" max="12" width="23.5703125" bestFit="1" customWidth="1"/>
    <col min="13" max="13" width="13.85546875" bestFit="1" customWidth="1"/>
    <col min="14" max="14" width="14.42578125" bestFit="1" customWidth="1"/>
    <col min="19" max="20" width="15.140625" bestFit="1" customWidth="1"/>
    <col min="22" max="22" width="15.140625" bestFit="1" customWidth="1"/>
    <col min="257" max="257" width="6.42578125" bestFit="1" customWidth="1"/>
    <col min="258" max="258" width="65.7109375" customWidth="1"/>
    <col min="259" max="259" width="5.28515625" bestFit="1" customWidth="1"/>
    <col min="260" max="260" width="23.85546875" customWidth="1"/>
    <col min="261" max="261" width="29" bestFit="1" customWidth="1"/>
    <col min="262" max="262" width="26" bestFit="1" customWidth="1"/>
    <col min="263" max="263" width="26.5703125" bestFit="1" customWidth="1"/>
    <col min="264" max="264" width="16.28515625" customWidth="1"/>
    <col min="265" max="265" width="29.5703125" customWidth="1"/>
    <col min="266" max="266" width="21.85546875" customWidth="1"/>
    <col min="267" max="267" width="30" bestFit="1" customWidth="1"/>
    <col min="268" max="268" width="23.5703125" bestFit="1" customWidth="1"/>
    <col min="269" max="269" width="13.85546875" bestFit="1" customWidth="1"/>
    <col min="270" max="270" width="14.42578125" bestFit="1" customWidth="1"/>
    <col min="513" max="513" width="6.42578125" bestFit="1" customWidth="1"/>
    <col min="514" max="514" width="65.7109375" customWidth="1"/>
    <col min="515" max="515" width="5.28515625" bestFit="1" customWidth="1"/>
    <col min="516" max="516" width="23.85546875" customWidth="1"/>
    <col min="517" max="517" width="29" bestFit="1" customWidth="1"/>
    <col min="518" max="518" width="26" bestFit="1" customWidth="1"/>
    <col min="519" max="519" width="26.5703125" bestFit="1" customWidth="1"/>
    <col min="520" max="520" width="16.28515625" customWidth="1"/>
    <col min="521" max="521" width="29.5703125" customWidth="1"/>
    <col min="522" max="522" width="21.85546875" customWidth="1"/>
    <col min="523" max="523" width="30" bestFit="1" customWidth="1"/>
    <col min="524" max="524" width="23.5703125" bestFit="1" customWidth="1"/>
    <col min="525" max="525" width="13.85546875" bestFit="1" customWidth="1"/>
    <col min="526" max="526" width="14.42578125" bestFit="1" customWidth="1"/>
    <col min="769" max="769" width="6.42578125" bestFit="1" customWidth="1"/>
    <col min="770" max="770" width="65.7109375" customWidth="1"/>
    <col min="771" max="771" width="5.28515625" bestFit="1" customWidth="1"/>
    <col min="772" max="772" width="23.85546875" customWidth="1"/>
    <col min="773" max="773" width="29" bestFit="1" customWidth="1"/>
    <col min="774" max="774" width="26" bestFit="1" customWidth="1"/>
    <col min="775" max="775" width="26.5703125" bestFit="1" customWidth="1"/>
    <col min="776" max="776" width="16.28515625" customWidth="1"/>
    <col min="777" max="777" width="29.5703125" customWidth="1"/>
    <col min="778" max="778" width="21.85546875" customWidth="1"/>
    <col min="779" max="779" width="30" bestFit="1" customWidth="1"/>
    <col min="780" max="780" width="23.5703125" bestFit="1" customWidth="1"/>
    <col min="781" max="781" width="13.85546875" bestFit="1" customWidth="1"/>
    <col min="782" max="782" width="14.42578125" bestFit="1" customWidth="1"/>
    <col min="1025" max="1025" width="6.42578125" bestFit="1" customWidth="1"/>
    <col min="1026" max="1026" width="65.7109375" customWidth="1"/>
    <col min="1027" max="1027" width="5.28515625" bestFit="1" customWidth="1"/>
    <col min="1028" max="1028" width="23.85546875" customWidth="1"/>
    <col min="1029" max="1029" width="29" bestFit="1" customWidth="1"/>
    <col min="1030" max="1030" width="26" bestFit="1" customWidth="1"/>
    <col min="1031" max="1031" width="26.5703125" bestFit="1" customWidth="1"/>
    <col min="1032" max="1032" width="16.28515625" customWidth="1"/>
    <col min="1033" max="1033" width="29.5703125" customWidth="1"/>
    <col min="1034" max="1034" width="21.85546875" customWidth="1"/>
    <col min="1035" max="1035" width="30" bestFit="1" customWidth="1"/>
    <col min="1036" max="1036" width="23.5703125" bestFit="1" customWidth="1"/>
    <col min="1037" max="1037" width="13.85546875" bestFit="1" customWidth="1"/>
    <col min="1038" max="1038" width="14.42578125" bestFit="1" customWidth="1"/>
    <col min="1281" max="1281" width="6.42578125" bestFit="1" customWidth="1"/>
    <col min="1282" max="1282" width="65.7109375" customWidth="1"/>
    <col min="1283" max="1283" width="5.28515625" bestFit="1" customWidth="1"/>
    <col min="1284" max="1284" width="23.85546875" customWidth="1"/>
    <col min="1285" max="1285" width="29" bestFit="1" customWidth="1"/>
    <col min="1286" max="1286" width="26" bestFit="1" customWidth="1"/>
    <col min="1287" max="1287" width="26.5703125" bestFit="1" customWidth="1"/>
    <col min="1288" max="1288" width="16.28515625" customWidth="1"/>
    <col min="1289" max="1289" width="29.5703125" customWidth="1"/>
    <col min="1290" max="1290" width="21.85546875" customWidth="1"/>
    <col min="1291" max="1291" width="30" bestFit="1" customWidth="1"/>
    <col min="1292" max="1292" width="23.5703125" bestFit="1" customWidth="1"/>
    <col min="1293" max="1293" width="13.85546875" bestFit="1" customWidth="1"/>
    <col min="1294" max="1294" width="14.42578125" bestFit="1" customWidth="1"/>
    <col min="1537" max="1537" width="6.42578125" bestFit="1" customWidth="1"/>
    <col min="1538" max="1538" width="65.7109375" customWidth="1"/>
    <col min="1539" max="1539" width="5.28515625" bestFit="1" customWidth="1"/>
    <col min="1540" max="1540" width="23.85546875" customWidth="1"/>
    <col min="1541" max="1541" width="29" bestFit="1" customWidth="1"/>
    <col min="1542" max="1542" width="26" bestFit="1" customWidth="1"/>
    <col min="1543" max="1543" width="26.5703125" bestFit="1" customWidth="1"/>
    <col min="1544" max="1544" width="16.28515625" customWidth="1"/>
    <col min="1545" max="1545" width="29.5703125" customWidth="1"/>
    <col min="1546" max="1546" width="21.85546875" customWidth="1"/>
    <col min="1547" max="1547" width="30" bestFit="1" customWidth="1"/>
    <col min="1548" max="1548" width="23.5703125" bestFit="1" customWidth="1"/>
    <col min="1549" max="1549" width="13.85546875" bestFit="1" customWidth="1"/>
    <col min="1550" max="1550" width="14.42578125" bestFit="1" customWidth="1"/>
    <col min="1793" max="1793" width="6.42578125" bestFit="1" customWidth="1"/>
    <col min="1794" max="1794" width="65.7109375" customWidth="1"/>
    <col min="1795" max="1795" width="5.28515625" bestFit="1" customWidth="1"/>
    <col min="1796" max="1796" width="23.85546875" customWidth="1"/>
    <col min="1797" max="1797" width="29" bestFit="1" customWidth="1"/>
    <col min="1798" max="1798" width="26" bestFit="1" customWidth="1"/>
    <col min="1799" max="1799" width="26.5703125" bestFit="1" customWidth="1"/>
    <col min="1800" max="1800" width="16.28515625" customWidth="1"/>
    <col min="1801" max="1801" width="29.5703125" customWidth="1"/>
    <col min="1802" max="1802" width="21.85546875" customWidth="1"/>
    <col min="1803" max="1803" width="30" bestFit="1" customWidth="1"/>
    <col min="1804" max="1804" width="23.5703125" bestFit="1" customWidth="1"/>
    <col min="1805" max="1805" width="13.85546875" bestFit="1" customWidth="1"/>
    <col min="1806" max="1806" width="14.42578125" bestFit="1" customWidth="1"/>
    <col min="2049" max="2049" width="6.42578125" bestFit="1" customWidth="1"/>
    <col min="2050" max="2050" width="65.7109375" customWidth="1"/>
    <col min="2051" max="2051" width="5.28515625" bestFit="1" customWidth="1"/>
    <col min="2052" max="2052" width="23.85546875" customWidth="1"/>
    <col min="2053" max="2053" width="29" bestFit="1" customWidth="1"/>
    <col min="2054" max="2054" width="26" bestFit="1" customWidth="1"/>
    <col min="2055" max="2055" width="26.5703125" bestFit="1" customWidth="1"/>
    <col min="2056" max="2056" width="16.28515625" customWidth="1"/>
    <col min="2057" max="2057" width="29.5703125" customWidth="1"/>
    <col min="2058" max="2058" width="21.85546875" customWidth="1"/>
    <col min="2059" max="2059" width="30" bestFit="1" customWidth="1"/>
    <col min="2060" max="2060" width="23.5703125" bestFit="1" customWidth="1"/>
    <col min="2061" max="2061" width="13.85546875" bestFit="1" customWidth="1"/>
    <col min="2062" max="2062" width="14.42578125" bestFit="1" customWidth="1"/>
    <col min="2305" max="2305" width="6.42578125" bestFit="1" customWidth="1"/>
    <col min="2306" max="2306" width="65.7109375" customWidth="1"/>
    <col min="2307" max="2307" width="5.28515625" bestFit="1" customWidth="1"/>
    <col min="2308" max="2308" width="23.85546875" customWidth="1"/>
    <col min="2309" max="2309" width="29" bestFit="1" customWidth="1"/>
    <col min="2310" max="2310" width="26" bestFit="1" customWidth="1"/>
    <col min="2311" max="2311" width="26.5703125" bestFit="1" customWidth="1"/>
    <col min="2312" max="2312" width="16.28515625" customWidth="1"/>
    <col min="2313" max="2313" width="29.5703125" customWidth="1"/>
    <col min="2314" max="2314" width="21.85546875" customWidth="1"/>
    <col min="2315" max="2315" width="30" bestFit="1" customWidth="1"/>
    <col min="2316" max="2316" width="23.5703125" bestFit="1" customWidth="1"/>
    <col min="2317" max="2317" width="13.85546875" bestFit="1" customWidth="1"/>
    <col min="2318" max="2318" width="14.42578125" bestFit="1" customWidth="1"/>
    <col min="2561" max="2561" width="6.42578125" bestFit="1" customWidth="1"/>
    <col min="2562" max="2562" width="65.7109375" customWidth="1"/>
    <col min="2563" max="2563" width="5.28515625" bestFit="1" customWidth="1"/>
    <col min="2564" max="2564" width="23.85546875" customWidth="1"/>
    <col min="2565" max="2565" width="29" bestFit="1" customWidth="1"/>
    <col min="2566" max="2566" width="26" bestFit="1" customWidth="1"/>
    <col min="2567" max="2567" width="26.5703125" bestFit="1" customWidth="1"/>
    <col min="2568" max="2568" width="16.28515625" customWidth="1"/>
    <col min="2569" max="2569" width="29.5703125" customWidth="1"/>
    <col min="2570" max="2570" width="21.85546875" customWidth="1"/>
    <col min="2571" max="2571" width="30" bestFit="1" customWidth="1"/>
    <col min="2572" max="2572" width="23.5703125" bestFit="1" customWidth="1"/>
    <col min="2573" max="2573" width="13.85546875" bestFit="1" customWidth="1"/>
    <col min="2574" max="2574" width="14.42578125" bestFit="1" customWidth="1"/>
    <col min="2817" max="2817" width="6.42578125" bestFit="1" customWidth="1"/>
    <col min="2818" max="2818" width="65.7109375" customWidth="1"/>
    <col min="2819" max="2819" width="5.28515625" bestFit="1" customWidth="1"/>
    <col min="2820" max="2820" width="23.85546875" customWidth="1"/>
    <col min="2821" max="2821" width="29" bestFit="1" customWidth="1"/>
    <col min="2822" max="2822" width="26" bestFit="1" customWidth="1"/>
    <col min="2823" max="2823" width="26.5703125" bestFit="1" customWidth="1"/>
    <col min="2824" max="2824" width="16.28515625" customWidth="1"/>
    <col min="2825" max="2825" width="29.5703125" customWidth="1"/>
    <col min="2826" max="2826" width="21.85546875" customWidth="1"/>
    <col min="2827" max="2827" width="30" bestFit="1" customWidth="1"/>
    <col min="2828" max="2828" width="23.5703125" bestFit="1" customWidth="1"/>
    <col min="2829" max="2829" width="13.85546875" bestFit="1" customWidth="1"/>
    <col min="2830" max="2830" width="14.42578125" bestFit="1" customWidth="1"/>
    <col min="3073" max="3073" width="6.42578125" bestFit="1" customWidth="1"/>
    <col min="3074" max="3074" width="65.7109375" customWidth="1"/>
    <col min="3075" max="3075" width="5.28515625" bestFit="1" customWidth="1"/>
    <col min="3076" max="3076" width="23.85546875" customWidth="1"/>
    <col min="3077" max="3077" width="29" bestFit="1" customWidth="1"/>
    <col min="3078" max="3078" width="26" bestFit="1" customWidth="1"/>
    <col min="3079" max="3079" width="26.5703125" bestFit="1" customWidth="1"/>
    <col min="3080" max="3080" width="16.28515625" customWidth="1"/>
    <col min="3081" max="3081" width="29.5703125" customWidth="1"/>
    <col min="3082" max="3082" width="21.85546875" customWidth="1"/>
    <col min="3083" max="3083" width="30" bestFit="1" customWidth="1"/>
    <col min="3084" max="3084" width="23.5703125" bestFit="1" customWidth="1"/>
    <col min="3085" max="3085" width="13.85546875" bestFit="1" customWidth="1"/>
    <col min="3086" max="3086" width="14.42578125" bestFit="1" customWidth="1"/>
    <col min="3329" max="3329" width="6.42578125" bestFit="1" customWidth="1"/>
    <col min="3330" max="3330" width="65.7109375" customWidth="1"/>
    <col min="3331" max="3331" width="5.28515625" bestFit="1" customWidth="1"/>
    <col min="3332" max="3332" width="23.85546875" customWidth="1"/>
    <col min="3333" max="3333" width="29" bestFit="1" customWidth="1"/>
    <col min="3334" max="3334" width="26" bestFit="1" customWidth="1"/>
    <col min="3335" max="3335" width="26.5703125" bestFit="1" customWidth="1"/>
    <col min="3336" max="3336" width="16.28515625" customWidth="1"/>
    <col min="3337" max="3337" width="29.5703125" customWidth="1"/>
    <col min="3338" max="3338" width="21.85546875" customWidth="1"/>
    <col min="3339" max="3339" width="30" bestFit="1" customWidth="1"/>
    <col min="3340" max="3340" width="23.5703125" bestFit="1" customWidth="1"/>
    <col min="3341" max="3341" width="13.85546875" bestFit="1" customWidth="1"/>
    <col min="3342" max="3342" width="14.42578125" bestFit="1" customWidth="1"/>
    <col min="3585" max="3585" width="6.42578125" bestFit="1" customWidth="1"/>
    <col min="3586" max="3586" width="65.7109375" customWidth="1"/>
    <col min="3587" max="3587" width="5.28515625" bestFit="1" customWidth="1"/>
    <col min="3588" max="3588" width="23.85546875" customWidth="1"/>
    <col min="3589" max="3589" width="29" bestFit="1" customWidth="1"/>
    <col min="3590" max="3590" width="26" bestFit="1" customWidth="1"/>
    <col min="3591" max="3591" width="26.5703125" bestFit="1" customWidth="1"/>
    <col min="3592" max="3592" width="16.28515625" customWidth="1"/>
    <col min="3593" max="3593" width="29.5703125" customWidth="1"/>
    <col min="3594" max="3594" width="21.85546875" customWidth="1"/>
    <col min="3595" max="3595" width="30" bestFit="1" customWidth="1"/>
    <col min="3596" max="3596" width="23.5703125" bestFit="1" customWidth="1"/>
    <col min="3597" max="3597" width="13.85546875" bestFit="1" customWidth="1"/>
    <col min="3598" max="3598" width="14.42578125" bestFit="1" customWidth="1"/>
    <col min="3841" max="3841" width="6.42578125" bestFit="1" customWidth="1"/>
    <col min="3842" max="3842" width="65.7109375" customWidth="1"/>
    <col min="3843" max="3843" width="5.28515625" bestFit="1" customWidth="1"/>
    <col min="3844" max="3844" width="23.85546875" customWidth="1"/>
    <col min="3845" max="3845" width="29" bestFit="1" customWidth="1"/>
    <col min="3846" max="3846" width="26" bestFit="1" customWidth="1"/>
    <col min="3847" max="3847" width="26.5703125" bestFit="1" customWidth="1"/>
    <col min="3848" max="3848" width="16.28515625" customWidth="1"/>
    <col min="3849" max="3849" width="29.5703125" customWidth="1"/>
    <col min="3850" max="3850" width="21.85546875" customWidth="1"/>
    <col min="3851" max="3851" width="30" bestFit="1" customWidth="1"/>
    <col min="3852" max="3852" width="23.5703125" bestFit="1" customWidth="1"/>
    <col min="3853" max="3853" width="13.85546875" bestFit="1" customWidth="1"/>
    <col min="3854" max="3854" width="14.42578125" bestFit="1" customWidth="1"/>
    <col min="4097" max="4097" width="6.42578125" bestFit="1" customWidth="1"/>
    <col min="4098" max="4098" width="65.7109375" customWidth="1"/>
    <col min="4099" max="4099" width="5.28515625" bestFit="1" customWidth="1"/>
    <col min="4100" max="4100" width="23.85546875" customWidth="1"/>
    <col min="4101" max="4101" width="29" bestFit="1" customWidth="1"/>
    <col min="4102" max="4102" width="26" bestFit="1" customWidth="1"/>
    <col min="4103" max="4103" width="26.5703125" bestFit="1" customWidth="1"/>
    <col min="4104" max="4104" width="16.28515625" customWidth="1"/>
    <col min="4105" max="4105" width="29.5703125" customWidth="1"/>
    <col min="4106" max="4106" width="21.85546875" customWidth="1"/>
    <col min="4107" max="4107" width="30" bestFit="1" customWidth="1"/>
    <col min="4108" max="4108" width="23.5703125" bestFit="1" customWidth="1"/>
    <col min="4109" max="4109" width="13.85546875" bestFit="1" customWidth="1"/>
    <col min="4110" max="4110" width="14.42578125" bestFit="1" customWidth="1"/>
    <col min="4353" max="4353" width="6.42578125" bestFit="1" customWidth="1"/>
    <col min="4354" max="4354" width="65.7109375" customWidth="1"/>
    <col min="4355" max="4355" width="5.28515625" bestFit="1" customWidth="1"/>
    <col min="4356" max="4356" width="23.85546875" customWidth="1"/>
    <col min="4357" max="4357" width="29" bestFit="1" customWidth="1"/>
    <col min="4358" max="4358" width="26" bestFit="1" customWidth="1"/>
    <col min="4359" max="4359" width="26.5703125" bestFit="1" customWidth="1"/>
    <col min="4360" max="4360" width="16.28515625" customWidth="1"/>
    <col min="4361" max="4361" width="29.5703125" customWidth="1"/>
    <col min="4362" max="4362" width="21.85546875" customWidth="1"/>
    <col min="4363" max="4363" width="30" bestFit="1" customWidth="1"/>
    <col min="4364" max="4364" width="23.5703125" bestFit="1" customWidth="1"/>
    <col min="4365" max="4365" width="13.85546875" bestFit="1" customWidth="1"/>
    <col min="4366" max="4366" width="14.42578125" bestFit="1" customWidth="1"/>
    <col min="4609" max="4609" width="6.42578125" bestFit="1" customWidth="1"/>
    <col min="4610" max="4610" width="65.7109375" customWidth="1"/>
    <col min="4611" max="4611" width="5.28515625" bestFit="1" customWidth="1"/>
    <col min="4612" max="4612" width="23.85546875" customWidth="1"/>
    <col min="4613" max="4613" width="29" bestFit="1" customWidth="1"/>
    <col min="4614" max="4614" width="26" bestFit="1" customWidth="1"/>
    <col min="4615" max="4615" width="26.5703125" bestFit="1" customWidth="1"/>
    <col min="4616" max="4616" width="16.28515625" customWidth="1"/>
    <col min="4617" max="4617" width="29.5703125" customWidth="1"/>
    <col min="4618" max="4618" width="21.85546875" customWidth="1"/>
    <col min="4619" max="4619" width="30" bestFit="1" customWidth="1"/>
    <col min="4620" max="4620" width="23.5703125" bestFit="1" customWidth="1"/>
    <col min="4621" max="4621" width="13.85546875" bestFit="1" customWidth="1"/>
    <col min="4622" max="4622" width="14.42578125" bestFit="1" customWidth="1"/>
    <col min="4865" max="4865" width="6.42578125" bestFit="1" customWidth="1"/>
    <col min="4866" max="4866" width="65.7109375" customWidth="1"/>
    <col min="4867" max="4867" width="5.28515625" bestFit="1" customWidth="1"/>
    <col min="4868" max="4868" width="23.85546875" customWidth="1"/>
    <col min="4869" max="4869" width="29" bestFit="1" customWidth="1"/>
    <col min="4870" max="4870" width="26" bestFit="1" customWidth="1"/>
    <col min="4871" max="4871" width="26.5703125" bestFit="1" customWidth="1"/>
    <col min="4872" max="4872" width="16.28515625" customWidth="1"/>
    <col min="4873" max="4873" width="29.5703125" customWidth="1"/>
    <col min="4874" max="4874" width="21.85546875" customWidth="1"/>
    <col min="4875" max="4875" width="30" bestFit="1" customWidth="1"/>
    <col min="4876" max="4876" width="23.5703125" bestFit="1" customWidth="1"/>
    <col min="4877" max="4877" width="13.85546875" bestFit="1" customWidth="1"/>
    <col min="4878" max="4878" width="14.42578125" bestFit="1" customWidth="1"/>
    <col min="5121" max="5121" width="6.42578125" bestFit="1" customWidth="1"/>
    <col min="5122" max="5122" width="65.7109375" customWidth="1"/>
    <col min="5123" max="5123" width="5.28515625" bestFit="1" customWidth="1"/>
    <col min="5124" max="5124" width="23.85546875" customWidth="1"/>
    <col min="5125" max="5125" width="29" bestFit="1" customWidth="1"/>
    <col min="5126" max="5126" width="26" bestFit="1" customWidth="1"/>
    <col min="5127" max="5127" width="26.5703125" bestFit="1" customWidth="1"/>
    <col min="5128" max="5128" width="16.28515625" customWidth="1"/>
    <col min="5129" max="5129" width="29.5703125" customWidth="1"/>
    <col min="5130" max="5130" width="21.85546875" customWidth="1"/>
    <col min="5131" max="5131" width="30" bestFit="1" customWidth="1"/>
    <col min="5132" max="5132" width="23.5703125" bestFit="1" customWidth="1"/>
    <col min="5133" max="5133" width="13.85546875" bestFit="1" customWidth="1"/>
    <col min="5134" max="5134" width="14.42578125" bestFit="1" customWidth="1"/>
    <col min="5377" max="5377" width="6.42578125" bestFit="1" customWidth="1"/>
    <col min="5378" max="5378" width="65.7109375" customWidth="1"/>
    <col min="5379" max="5379" width="5.28515625" bestFit="1" customWidth="1"/>
    <col min="5380" max="5380" width="23.85546875" customWidth="1"/>
    <col min="5381" max="5381" width="29" bestFit="1" customWidth="1"/>
    <col min="5382" max="5382" width="26" bestFit="1" customWidth="1"/>
    <col min="5383" max="5383" width="26.5703125" bestFit="1" customWidth="1"/>
    <col min="5384" max="5384" width="16.28515625" customWidth="1"/>
    <col min="5385" max="5385" width="29.5703125" customWidth="1"/>
    <col min="5386" max="5386" width="21.85546875" customWidth="1"/>
    <col min="5387" max="5387" width="30" bestFit="1" customWidth="1"/>
    <col min="5388" max="5388" width="23.5703125" bestFit="1" customWidth="1"/>
    <col min="5389" max="5389" width="13.85546875" bestFit="1" customWidth="1"/>
    <col min="5390" max="5390" width="14.42578125" bestFit="1" customWidth="1"/>
    <col min="5633" max="5633" width="6.42578125" bestFit="1" customWidth="1"/>
    <col min="5634" max="5634" width="65.7109375" customWidth="1"/>
    <col min="5635" max="5635" width="5.28515625" bestFit="1" customWidth="1"/>
    <col min="5636" max="5636" width="23.85546875" customWidth="1"/>
    <col min="5637" max="5637" width="29" bestFit="1" customWidth="1"/>
    <col min="5638" max="5638" width="26" bestFit="1" customWidth="1"/>
    <col min="5639" max="5639" width="26.5703125" bestFit="1" customWidth="1"/>
    <col min="5640" max="5640" width="16.28515625" customWidth="1"/>
    <col min="5641" max="5641" width="29.5703125" customWidth="1"/>
    <col min="5642" max="5642" width="21.85546875" customWidth="1"/>
    <col min="5643" max="5643" width="30" bestFit="1" customWidth="1"/>
    <col min="5644" max="5644" width="23.5703125" bestFit="1" customWidth="1"/>
    <col min="5645" max="5645" width="13.85546875" bestFit="1" customWidth="1"/>
    <col min="5646" max="5646" width="14.42578125" bestFit="1" customWidth="1"/>
    <col min="5889" max="5889" width="6.42578125" bestFit="1" customWidth="1"/>
    <col min="5890" max="5890" width="65.7109375" customWidth="1"/>
    <col min="5891" max="5891" width="5.28515625" bestFit="1" customWidth="1"/>
    <col min="5892" max="5892" width="23.85546875" customWidth="1"/>
    <col min="5893" max="5893" width="29" bestFit="1" customWidth="1"/>
    <col min="5894" max="5894" width="26" bestFit="1" customWidth="1"/>
    <col min="5895" max="5895" width="26.5703125" bestFit="1" customWidth="1"/>
    <col min="5896" max="5896" width="16.28515625" customWidth="1"/>
    <col min="5897" max="5897" width="29.5703125" customWidth="1"/>
    <col min="5898" max="5898" width="21.85546875" customWidth="1"/>
    <col min="5899" max="5899" width="30" bestFit="1" customWidth="1"/>
    <col min="5900" max="5900" width="23.5703125" bestFit="1" customWidth="1"/>
    <col min="5901" max="5901" width="13.85546875" bestFit="1" customWidth="1"/>
    <col min="5902" max="5902" width="14.42578125" bestFit="1" customWidth="1"/>
    <col min="6145" max="6145" width="6.42578125" bestFit="1" customWidth="1"/>
    <col min="6146" max="6146" width="65.7109375" customWidth="1"/>
    <col min="6147" max="6147" width="5.28515625" bestFit="1" customWidth="1"/>
    <col min="6148" max="6148" width="23.85546875" customWidth="1"/>
    <col min="6149" max="6149" width="29" bestFit="1" customWidth="1"/>
    <col min="6150" max="6150" width="26" bestFit="1" customWidth="1"/>
    <col min="6151" max="6151" width="26.5703125" bestFit="1" customWidth="1"/>
    <col min="6152" max="6152" width="16.28515625" customWidth="1"/>
    <col min="6153" max="6153" width="29.5703125" customWidth="1"/>
    <col min="6154" max="6154" width="21.85546875" customWidth="1"/>
    <col min="6155" max="6155" width="30" bestFit="1" customWidth="1"/>
    <col min="6156" max="6156" width="23.5703125" bestFit="1" customWidth="1"/>
    <col min="6157" max="6157" width="13.85546875" bestFit="1" customWidth="1"/>
    <col min="6158" max="6158" width="14.42578125" bestFit="1" customWidth="1"/>
    <col min="6401" max="6401" width="6.42578125" bestFit="1" customWidth="1"/>
    <col min="6402" max="6402" width="65.7109375" customWidth="1"/>
    <col min="6403" max="6403" width="5.28515625" bestFit="1" customWidth="1"/>
    <col min="6404" max="6404" width="23.85546875" customWidth="1"/>
    <col min="6405" max="6405" width="29" bestFit="1" customWidth="1"/>
    <col min="6406" max="6406" width="26" bestFit="1" customWidth="1"/>
    <col min="6407" max="6407" width="26.5703125" bestFit="1" customWidth="1"/>
    <col min="6408" max="6408" width="16.28515625" customWidth="1"/>
    <col min="6409" max="6409" width="29.5703125" customWidth="1"/>
    <col min="6410" max="6410" width="21.85546875" customWidth="1"/>
    <col min="6411" max="6411" width="30" bestFit="1" customWidth="1"/>
    <col min="6412" max="6412" width="23.5703125" bestFit="1" customWidth="1"/>
    <col min="6413" max="6413" width="13.85546875" bestFit="1" customWidth="1"/>
    <col min="6414" max="6414" width="14.42578125" bestFit="1" customWidth="1"/>
    <col min="6657" max="6657" width="6.42578125" bestFit="1" customWidth="1"/>
    <col min="6658" max="6658" width="65.7109375" customWidth="1"/>
    <col min="6659" max="6659" width="5.28515625" bestFit="1" customWidth="1"/>
    <col min="6660" max="6660" width="23.85546875" customWidth="1"/>
    <col min="6661" max="6661" width="29" bestFit="1" customWidth="1"/>
    <col min="6662" max="6662" width="26" bestFit="1" customWidth="1"/>
    <col min="6663" max="6663" width="26.5703125" bestFit="1" customWidth="1"/>
    <col min="6664" max="6664" width="16.28515625" customWidth="1"/>
    <col min="6665" max="6665" width="29.5703125" customWidth="1"/>
    <col min="6666" max="6666" width="21.85546875" customWidth="1"/>
    <col min="6667" max="6667" width="30" bestFit="1" customWidth="1"/>
    <col min="6668" max="6668" width="23.5703125" bestFit="1" customWidth="1"/>
    <col min="6669" max="6669" width="13.85546875" bestFit="1" customWidth="1"/>
    <col min="6670" max="6670" width="14.42578125" bestFit="1" customWidth="1"/>
    <col min="6913" max="6913" width="6.42578125" bestFit="1" customWidth="1"/>
    <col min="6914" max="6914" width="65.7109375" customWidth="1"/>
    <col min="6915" max="6915" width="5.28515625" bestFit="1" customWidth="1"/>
    <col min="6916" max="6916" width="23.85546875" customWidth="1"/>
    <col min="6917" max="6917" width="29" bestFit="1" customWidth="1"/>
    <col min="6918" max="6918" width="26" bestFit="1" customWidth="1"/>
    <col min="6919" max="6919" width="26.5703125" bestFit="1" customWidth="1"/>
    <col min="6920" max="6920" width="16.28515625" customWidth="1"/>
    <col min="6921" max="6921" width="29.5703125" customWidth="1"/>
    <col min="6922" max="6922" width="21.85546875" customWidth="1"/>
    <col min="6923" max="6923" width="30" bestFit="1" customWidth="1"/>
    <col min="6924" max="6924" width="23.5703125" bestFit="1" customWidth="1"/>
    <col min="6925" max="6925" width="13.85546875" bestFit="1" customWidth="1"/>
    <col min="6926" max="6926" width="14.42578125" bestFit="1" customWidth="1"/>
    <col min="7169" max="7169" width="6.42578125" bestFit="1" customWidth="1"/>
    <col min="7170" max="7170" width="65.7109375" customWidth="1"/>
    <col min="7171" max="7171" width="5.28515625" bestFit="1" customWidth="1"/>
    <col min="7172" max="7172" width="23.85546875" customWidth="1"/>
    <col min="7173" max="7173" width="29" bestFit="1" customWidth="1"/>
    <col min="7174" max="7174" width="26" bestFit="1" customWidth="1"/>
    <col min="7175" max="7175" width="26.5703125" bestFit="1" customWidth="1"/>
    <col min="7176" max="7176" width="16.28515625" customWidth="1"/>
    <col min="7177" max="7177" width="29.5703125" customWidth="1"/>
    <col min="7178" max="7178" width="21.85546875" customWidth="1"/>
    <col min="7179" max="7179" width="30" bestFit="1" customWidth="1"/>
    <col min="7180" max="7180" width="23.5703125" bestFit="1" customWidth="1"/>
    <col min="7181" max="7181" width="13.85546875" bestFit="1" customWidth="1"/>
    <col min="7182" max="7182" width="14.42578125" bestFit="1" customWidth="1"/>
    <col min="7425" max="7425" width="6.42578125" bestFit="1" customWidth="1"/>
    <col min="7426" max="7426" width="65.7109375" customWidth="1"/>
    <col min="7427" max="7427" width="5.28515625" bestFit="1" customWidth="1"/>
    <col min="7428" max="7428" width="23.85546875" customWidth="1"/>
    <col min="7429" max="7429" width="29" bestFit="1" customWidth="1"/>
    <col min="7430" max="7430" width="26" bestFit="1" customWidth="1"/>
    <col min="7431" max="7431" width="26.5703125" bestFit="1" customWidth="1"/>
    <col min="7432" max="7432" width="16.28515625" customWidth="1"/>
    <col min="7433" max="7433" width="29.5703125" customWidth="1"/>
    <col min="7434" max="7434" width="21.85546875" customWidth="1"/>
    <col min="7435" max="7435" width="30" bestFit="1" customWidth="1"/>
    <col min="7436" max="7436" width="23.5703125" bestFit="1" customWidth="1"/>
    <col min="7437" max="7437" width="13.85546875" bestFit="1" customWidth="1"/>
    <col min="7438" max="7438" width="14.42578125" bestFit="1" customWidth="1"/>
    <col min="7681" max="7681" width="6.42578125" bestFit="1" customWidth="1"/>
    <col min="7682" max="7682" width="65.7109375" customWidth="1"/>
    <col min="7683" max="7683" width="5.28515625" bestFit="1" customWidth="1"/>
    <col min="7684" max="7684" width="23.85546875" customWidth="1"/>
    <col min="7685" max="7685" width="29" bestFit="1" customWidth="1"/>
    <col min="7686" max="7686" width="26" bestFit="1" customWidth="1"/>
    <col min="7687" max="7687" width="26.5703125" bestFit="1" customWidth="1"/>
    <col min="7688" max="7688" width="16.28515625" customWidth="1"/>
    <col min="7689" max="7689" width="29.5703125" customWidth="1"/>
    <col min="7690" max="7690" width="21.85546875" customWidth="1"/>
    <col min="7691" max="7691" width="30" bestFit="1" customWidth="1"/>
    <col min="7692" max="7692" width="23.5703125" bestFit="1" customWidth="1"/>
    <col min="7693" max="7693" width="13.85546875" bestFit="1" customWidth="1"/>
    <col min="7694" max="7694" width="14.42578125" bestFit="1" customWidth="1"/>
    <col min="7937" max="7937" width="6.42578125" bestFit="1" customWidth="1"/>
    <col min="7938" max="7938" width="65.7109375" customWidth="1"/>
    <col min="7939" max="7939" width="5.28515625" bestFit="1" customWidth="1"/>
    <col min="7940" max="7940" width="23.85546875" customWidth="1"/>
    <col min="7941" max="7941" width="29" bestFit="1" customWidth="1"/>
    <col min="7942" max="7942" width="26" bestFit="1" customWidth="1"/>
    <col min="7943" max="7943" width="26.5703125" bestFit="1" customWidth="1"/>
    <col min="7944" max="7944" width="16.28515625" customWidth="1"/>
    <col min="7945" max="7945" width="29.5703125" customWidth="1"/>
    <col min="7946" max="7946" width="21.85546875" customWidth="1"/>
    <col min="7947" max="7947" width="30" bestFit="1" customWidth="1"/>
    <col min="7948" max="7948" width="23.5703125" bestFit="1" customWidth="1"/>
    <col min="7949" max="7949" width="13.85546875" bestFit="1" customWidth="1"/>
    <col min="7950" max="7950" width="14.42578125" bestFit="1" customWidth="1"/>
    <col min="8193" max="8193" width="6.42578125" bestFit="1" customWidth="1"/>
    <col min="8194" max="8194" width="65.7109375" customWidth="1"/>
    <col min="8195" max="8195" width="5.28515625" bestFit="1" customWidth="1"/>
    <col min="8196" max="8196" width="23.85546875" customWidth="1"/>
    <col min="8197" max="8197" width="29" bestFit="1" customWidth="1"/>
    <col min="8198" max="8198" width="26" bestFit="1" customWidth="1"/>
    <col min="8199" max="8199" width="26.5703125" bestFit="1" customWidth="1"/>
    <col min="8200" max="8200" width="16.28515625" customWidth="1"/>
    <col min="8201" max="8201" width="29.5703125" customWidth="1"/>
    <col min="8202" max="8202" width="21.85546875" customWidth="1"/>
    <col min="8203" max="8203" width="30" bestFit="1" customWidth="1"/>
    <col min="8204" max="8204" width="23.5703125" bestFit="1" customWidth="1"/>
    <col min="8205" max="8205" width="13.85546875" bestFit="1" customWidth="1"/>
    <col min="8206" max="8206" width="14.42578125" bestFit="1" customWidth="1"/>
    <col min="8449" max="8449" width="6.42578125" bestFit="1" customWidth="1"/>
    <col min="8450" max="8450" width="65.7109375" customWidth="1"/>
    <col min="8451" max="8451" width="5.28515625" bestFit="1" customWidth="1"/>
    <col min="8452" max="8452" width="23.85546875" customWidth="1"/>
    <col min="8453" max="8453" width="29" bestFit="1" customWidth="1"/>
    <col min="8454" max="8454" width="26" bestFit="1" customWidth="1"/>
    <col min="8455" max="8455" width="26.5703125" bestFit="1" customWidth="1"/>
    <col min="8456" max="8456" width="16.28515625" customWidth="1"/>
    <col min="8457" max="8457" width="29.5703125" customWidth="1"/>
    <col min="8458" max="8458" width="21.85546875" customWidth="1"/>
    <col min="8459" max="8459" width="30" bestFit="1" customWidth="1"/>
    <col min="8460" max="8460" width="23.5703125" bestFit="1" customWidth="1"/>
    <col min="8461" max="8461" width="13.85546875" bestFit="1" customWidth="1"/>
    <col min="8462" max="8462" width="14.42578125" bestFit="1" customWidth="1"/>
    <col min="8705" max="8705" width="6.42578125" bestFit="1" customWidth="1"/>
    <col min="8706" max="8706" width="65.7109375" customWidth="1"/>
    <col min="8707" max="8707" width="5.28515625" bestFit="1" customWidth="1"/>
    <col min="8708" max="8708" width="23.85546875" customWidth="1"/>
    <col min="8709" max="8709" width="29" bestFit="1" customWidth="1"/>
    <col min="8710" max="8710" width="26" bestFit="1" customWidth="1"/>
    <col min="8711" max="8711" width="26.5703125" bestFit="1" customWidth="1"/>
    <col min="8712" max="8712" width="16.28515625" customWidth="1"/>
    <col min="8713" max="8713" width="29.5703125" customWidth="1"/>
    <col min="8714" max="8714" width="21.85546875" customWidth="1"/>
    <col min="8715" max="8715" width="30" bestFit="1" customWidth="1"/>
    <col min="8716" max="8716" width="23.5703125" bestFit="1" customWidth="1"/>
    <col min="8717" max="8717" width="13.85546875" bestFit="1" customWidth="1"/>
    <col min="8718" max="8718" width="14.42578125" bestFit="1" customWidth="1"/>
    <col min="8961" max="8961" width="6.42578125" bestFit="1" customWidth="1"/>
    <col min="8962" max="8962" width="65.7109375" customWidth="1"/>
    <col min="8963" max="8963" width="5.28515625" bestFit="1" customWidth="1"/>
    <col min="8964" max="8964" width="23.85546875" customWidth="1"/>
    <col min="8965" max="8965" width="29" bestFit="1" customWidth="1"/>
    <col min="8966" max="8966" width="26" bestFit="1" customWidth="1"/>
    <col min="8967" max="8967" width="26.5703125" bestFit="1" customWidth="1"/>
    <col min="8968" max="8968" width="16.28515625" customWidth="1"/>
    <col min="8969" max="8969" width="29.5703125" customWidth="1"/>
    <col min="8970" max="8970" width="21.85546875" customWidth="1"/>
    <col min="8971" max="8971" width="30" bestFit="1" customWidth="1"/>
    <col min="8972" max="8972" width="23.5703125" bestFit="1" customWidth="1"/>
    <col min="8973" max="8973" width="13.85546875" bestFit="1" customWidth="1"/>
    <col min="8974" max="8974" width="14.42578125" bestFit="1" customWidth="1"/>
    <col min="9217" max="9217" width="6.42578125" bestFit="1" customWidth="1"/>
    <col min="9218" max="9218" width="65.7109375" customWidth="1"/>
    <col min="9219" max="9219" width="5.28515625" bestFit="1" customWidth="1"/>
    <col min="9220" max="9220" width="23.85546875" customWidth="1"/>
    <col min="9221" max="9221" width="29" bestFit="1" customWidth="1"/>
    <col min="9222" max="9222" width="26" bestFit="1" customWidth="1"/>
    <col min="9223" max="9223" width="26.5703125" bestFit="1" customWidth="1"/>
    <col min="9224" max="9224" width="16.28515625" customWidth="1"/>
    <col min="9225" max="9225" width="29.5703125" customWidth="1"/>
    <col min="9226" max="9226" width="21.85546875" customWidth="1"/>
    <col min="9227" max="9227" width="30" bestFit="1" customWidth="1"/>
    <col min="9228" max="9228" width="23.5703125" bestFit="1" customWidth="1"/>
    <col min="9229" max="9229" width="13.85546875" bestFit="1" customWidth="1"/>
    <col min="9230" max="9230" width="14.42578125" bestFit="1" customWidth="1"/>
    <col min="9473" max="9473" width="6.42578125" bestFit="1" customWidth="1"/>
    <col min="9474" max="9474" width="65.7109375" customWidth="1"/>
    <col min="9475" max="9475" width="5.28515625" bestFit="1" customWidth="1"/>
    <col min="9476" max="9476" width="23.85546875" customWidth="1"/>
    <col min="9477" max="9477" width="29" bestFit="1" customWidth="1"/>
    <col min="9478" max="9478" width="26" bestFit="1" customWidth="1"/>
    <col min="9479" max="9479" width="26.5703125" bestFit="1" customWidth="1"/>
    <col min="9480" max="9480" width="16.28515625" customWidth="1"/>
    <col min="9481" max="9481" width="29.5703125" customWidth="1"/>
    <col min="9482" max="9482" width="21.85546875" customWidth="1"/>
    <col min="9483" max="9483" width="30" bestFit="1" customWidth="1"/>
    <col min="9484" max="9484" width="23.5703125" bestFit="1" customWidth="1"/>
    <col min="9485" max="9485" width="13.85546875" bestFit="1" customWidth="1"/>
    <col min="9486" max="9486" width="14.42578125" bestFit="1" customWidth="1"/>
    <col min="9729" max="9729" width="6.42578125" bestFit="1" customWidth="1"/>
    <col min="9730" max="9730" width="65.7109375" customWidth="1"/>
    <col min="9731" max="9731" width="5.28515625" bestFit="1" customWidth="1"/>
    <col min="9732" max="9732" width="23.85546875" customWidth="1"/>
    <col min="9733" max="9733" width="29" bestFit="1" customWidth="1"/>
    <col min="9734" max="9734" width="26" bestFit="1" customWidth="1"/>
    <col min="9735" max="9735" width="26.5703125" bestFit="1" customWidth="1"/>
    <col min="9736" max="9736" width="16.28515625" customWidth="1"/>
    <col min="9737" max="9737" width="29.5703125" customWidth="1"/>
    <col min="9738" max="9738" width="21.85546875" customWidth="1"/>
    <col min="9739" max="9739" width="30" bestFit="1" customWidth="1"/>
    <col min="9740" max="9740" width="23.5703125" bestFit="1" customWidth="1"/>
    <col min="9741" max="9741" width="13.85546875" bestFit="1" customWidth="1"/>
    <col min="9742" max="9742" width="14.42578125" bestFit="1" customWidth="1"/>
    <col min="9985" max="9985" width="6.42578125" bestFit="1" customWidth="1"/>
    <col min="9986" max="9986" width="65.7109375" customWidth="1"/>
    <col min="9987" max="9987" width="5.28515625" bestFit="1" customWidth="1"/>
    <col min="9988" max="9988" width="23.85546875" customWidth="1"/>
    <col min="9989" max="9989" width="29" bestFit="1" customWidth="1"/>
    <col min="9990" max="9990" width="26" bestFit="1" customWidth="1"/>
    <col min="9991" max="9991" width="26.5703125" bestFit="1" customWidth="1"/>
    <col min="9992" max="9992" width="16.28515625" customWidth="1"/>
    <col min="9993" max="9993" width="29.5703125" customWidth="1"/>
    <col min="9994" max="9994" width="21.85546875" customWidth="1"/>
    <col min="9995" max="9995" width="30" bestFit="1" customWidth="1"/>
    <col min="9996" max="9996" width="23.5703125" bestFit="1" customWidth="1"/>
    <col min="9997" max="9997" width="13.85546875" bestFit="1" customWidth="1"/>
    <col min="9998" max="9998" width="14.42578125" bestFit="1" customWidth="1"/>
    <col min="10241" max="10241" width="6.42578125" bestFit="1" customWidth="1"/>
    <col min="10242" max="10242" width="65.7109375" customWidth="1"/>
    <col min="10243" max="10243" width="5.28515625" bestFit="1" customWidth="1"/>
    <col min="10244" max="10244" width="23.85546875" customWidth="1"/>
    <col min="10245" max="10245" width="29" bestFit="1" customWidth="1"/>
    <col min="10246" max="10246" width="26" bestFit="1" customWidth="1"/>
    <col min="10247" max="10247" width="26.5703125" bestFit="1" customWidth="1"/>
    <col min="10248" max="10248" width="16.28515625" customWidth="1"/>
    <col min="10249" max="10249" width="29.5703125" customWidth="1"/>
    <col min="10250" max="10250" width="21.85546875" customWidth="1"/>
    <col min="10251" max="10251" width="30" bestFit="1" customWidth="1"/>
    <col min="10252" max="10252" width="23.5703125" bestFit="1" customWidth="1"/>
    <col min="10253" max="10253" width="13.85546875" bestFit="1" customWidth="1"/>
    <col min="10254" max="10254" width="14.42578125" bestFit="1" customWidth="1"/>
    <col min="10497" max="10497" width="6.42578125" bestFit="1" customWidth="1"/>
    <col min="10498" max="10498" width="65.7109375" customWidth="1"/>
    <col min="10499" max="10499" width="5.28515625" bestFit="1" customWidth="1"/>
    <col min="10500" max="10500" width="23.85546875" customWidth="1"/>
    <col min="10501" max="10501" width="29" bestFit="1" customWidth="1"/>
    <col min="10502" max="10502" width="26" bestFit="1" customWidth="1"/>
    <col min="10503" max="10503" width="26.5703125" bestFit="1" customWidth="1"/>
    <col min="10504" max="10504" width="16.28515625" customWidth="1"/>
    <col min="10505" max="10505" width="29.5703125" customWidth="1"/>
    <col min="10506" max="10506" width="21.85546875" customWidth="1"/>
    <col min="10507" max="10507" width="30" bestFit="1" customWidth="1"/>
    <col min="10508" max="10508" width="23.5703125" bestFit="1" customWidth="1"/>
    <col min="10509" max="10509" width="13.85546875" bestFit="1" customWidth="1"/>
    <col min="10510" max="10510" width="14.42578125" bestFit="1" customWidth="1"/>
    <col min="10753" max="10753" width="6.42578125" bestFit="1" customWidth="1"/>
    <col min="10754" max="10754" width="65.7109375" customWidth="1"/>
    <col min="10755" max="10755" width="5.28515625" bestFit="1" customWidth="1"/>
    <col min="10756" max="10756" width="23.85546875" customWidth="1"/>
    <col min="10757" max="10757" width="29" bestFit="1" customWidth="1"/>
    <col min="10758" max="10758" width="26" bestFit="1" customWidth="1"/>
    <col min="10759" max="10759" width="26.5703125" bestFit="1" customWidth="1"/>
    <col min="10760" max="10760" width="16.28515625" customWidth="1"/>
    <col min="10761" max="10761" width="29.5703125" customWidth="1"/>
    <col min="10762" max="10762" width="21.85546875" customWidth="1"/>
    <col min="10763" max="10763" width="30" bestFit="1" customWidth="1"/>
    <col min="10764" max="10764" width="23.5703125" bestFit="1" customWidth="1"/>
    <col min="10765" max="10765" width="13.85546875" bestFit="1" customWidth="1"/>
    <col min="10766" max="10766" width="14.42578125" bestFit="1" customWidth="1"/>
    <col min="11009" max="11009" width="6.42578125" bestFit="1" customWidth="1"/>
    <col min="11010" max="11010" width="65.7109375" customWidth="1"/>
    <col min="11011" max="11011" width="5.28515625" bestFit="1" customWidth="1"/>
    <col min="11012" max="11012" width="23.85546875" customWidth="1"/>
    <col min="11013" max="11013" width="29" bestFit="1" customWidth="1"/>
    <col min="11014" max="11014" width="26" bestFit="1" customWidth="1"/>
    <col min="11015" max="11015" width="26.5703125" bestFit="1" customWidth="1"/>
    <col min="11016" max="11016" width="16.28515625" customWidth="1"/>
    <col min="11017" max="11017" width="29.5703125" customWidth="1"/>
    <col min="11018" max="11018" width="21.85546875" customWidth="1"/>
    <col min="11019" max="11019" width="30" bestFit="1" customWidth="1"/>
    <col min="11020" max="11020" width="23.5703125" bestFit="1" customWidth="1"/>
    <col min="11021" max="11021" width="13.85546875" bestFit="1" customWidth="1"/>
    <col min="11022" max="11022" width="14.42578125" bestFit="1" customWidth="1"/>
    <col min="11265" max="11265" width="6.42578125" bestFit="1" customWidth="1"/>
    <col min="11266" max="11266" width="65.7109375" customWidth="1"/>
    <col min="11267" max="11267" width="5.28515625" bestFit="1" customWidth="1"/>
    <col min="11268" max="11268" width="23.85546875" customWidth="1"/>
    <col min="11269" max="11269" width="29" bestFit="1" customWidth="1"/>
    <col min="11270" max="11270" width="26" bestFit="1" customWidth="1"/>
    <col min="11271" max="11271" width="26.5703125" bestFit="1" customWidth="1"/>
    <col min="11272" max="11272" width="16.28515625" customWidth="1"/>
    <col min="11273" max="11273" width="29.5703125" customWidth="1"/>
    <col min="11274" max="11274" width="21.85546875" customWidth="1"/>
    <col min="11275" max="11275" width="30" bestFit="1" customWidth="1"/>
    <col min="11276" max="11276" width="23.5703125" bestFit="1" customWidth="1"/>
    <col min="11277" max="11277" width="13.85546875" bestFit="1" customWidth="1"/>
    <col min="11278" max="11278" width="14.42578125" bestFit="1" customWidth="1"/>
    <col min="11521" max="11521" width="6.42578125" bestFit="1" customWidth="1"/>
    <col min="11522" max="11522" width="65.7109375" customWidth="1"/>
    <col min="11523" max="11523" width="5.28515625" bestFit="1" customWidth="1"/>
    <col min="11524" max="11524" width="23.85546875" customWidth="1"/>
    <col min="11525" max="11525" width="29" bestFit="1" customWidth="1"/>
    <col min="11526" max="11526" width="26" bestFit="1" customWidth="1"/>
    <col min="11527" max="11527" width="26.5703125" bestFit="1" customWidth="1"/>
    <col min="11528" max="11528" width="16.28515625" customWidth="1"/>
    <col min="11529" max="11529" width="29.5703125" customWidth="1"/>
    <col min="11530" max="11530" width="21.85546875" customWidth="1"/>
    <col min="11531" max="11531" width="30" bestFit="1" customWidth="1"/>
    <col min="11532" max="11532" width="23.5703125" bestFit="1" customWidth="1"/>
    <col min="11533" max="11533" width="13.85546875" bestFit="1" customWidth="1"/>
    <col min="11534" max="11534" width="14.42578125" bestFit="1" customWidth="1"/>
    <col min="11777" max="11777" width="6.42578125" bestFit="1" customWidth="1"/>
    <col min="11778" max="11778" width="65.7109375" customWidth="1"/>
    <col min="11779" max="11779" width="5.28515625" bestFit="1" customWidth="1"/>
    <col min="11780" max="11780" width="23.85546875" customWidth="1"/>
    <col min="11781" max="11781" width="29" bestFit="1" customWidth="1"/>
    <col min="11782" max="11782" width="26" bestFit="1" customWidth="1"/>
    <col min="11783" max="11783" width="26.5703125" bestFit="1" customWidth="1"/>
    <col min="11784" max="11784" width="16.28515625" customWidth="1"/>
    <col min="11785" max="11785" width="29.5703125" customWidth="1"/>
    <col min="11786" max="11786" width="21.85546875" customWidth="1"/>
    <col min="11787" max="11787" width="30" bestFit="1" customWidth="1"/>
    <col min="11788" max="11788" width="23.5703125" bestFit="1" customWidth="1"/>
    <col min="11789" max="11789" width="13.85546875" bestFit="1" customWidth="1"/>
    <col min="11790" max="11790" width="14.42578125" bestFit="1" customWidth="1"/>
    <col min="12033" max="12033" width="6.42578125" bestFit="1" customWidth="1"/>
    <col min="12034" max="12034" width="65.7109375" customWidth="1"/>
    <col min="12035" max="12035" width="5.28515625" bestFit="1" customWidth="1"/>
    <col min="12036" max="12036" width="23.85546875" customWidth="1"/>
    <col min="12037" max="12037" width="29" bestFit="1" customWidth="1"/>
    <col min="12038" max="12038" width="26" bestFit="1" customWidth="1"/>
    <col min="12039" max="12039" width="26.5703125" bestFit="1" customWidth="1"/>
    <col min="12040" max="12040" width="16.28515625" customWidth="1"/>
    <col min="12041" max="12041" width="29.5703125" customWidth="1"/>
    <col min="12042" max="12042" width="21.85546875" customWidth="1"/>
    <col min="12043" max="12043" width="30" bestFit="1" customWidth="1"/>
    <col min="12044" max="12044" width="23.5703125" bestFit="1" customWidth="1"/>
    <col min="12045" max="12045" width="13.85546875" bestFit="1" customWidth="1"/>
    <col min="12046" max="12046" width="14.42578125" bestFit="1" customWidth="1"/>
    <col min="12289" max="12289" width="6.42578125" bestFit="1" customWidth="1"/>
    <col min="12290" max="12290" width="65.7109375" customWidth="1"/>
    <col min="12291" max="12291" width="5.28515625" bestFit="1" customWidth="1"/>
    <col min="12292" max="12292" width="23.85546875" customWidth="1"/>
    <col min="12293" max="12293" width="29" bestFit="1" customWidth="1"/>
    <col min="12294" max="12294" width="26" bestFit="1" customWidth="1"/>
    <col min="12295" max="12295" width="26.5703125" bestFit="1" customWidth="1"/>
    <col min="12296" max="12296" width="16.28515625" customWidth="1"/>
    <col min="12297" max="12297" width="29.5703125" customWidth="1"/>
    <col min="12298" max="12298" width="21.85546875" customWidth="1"/>
    <col min="12299" max="12299" width="30" bestFit="1" customWidth="1"/>
    <col min="12300" max="12300" width="23.5703125" bestFit="1" customWidth="1"/>
    <col min="12301" max="12301" width="13.85546875" bestFit="1" customWidth="1"/>
    <col min="12302" max="12302" width="14.42578125" bestFit="1" customWidth="1"/>
    <col min="12545" max="12545" width="6.42578125" bestFit="1" customWidth="1"/>
    <col min="12546" max="12546" width="65.7109375" customWidth="1"/>
    <col min="12547" max="12547" width="5.28515625" bestFit="1" customWidth="1"/>
    <col min="12548" max="12548" width="23.85546875" customWidth="1"/>
    <col min="12549" max="12549" width="29" bestFit="1" customWidth="1"/>
    <col min="12550" max="12550" width="26" bestFit="1" customWidth="1"/>
    <col min="12551" max="12551" width="26.5703125" bestFit="1" customWidth="1"/>
    <col min="12552" max="12552" width="16.28515625" customWidth="1"/>
    <col min="12553" max="12553" width="29.5703125" customWidth="1"/>
    <col min="12554" max="12554" width="21.85546875" customWidth="1"/>
    <col min="12555" max="12555" width="30" bestFit="1" customWidth="1"/>
    <col min="12556" max="12556" width="23.5703125" bestFit="1" customWidth="1"/>
    <col min="12557" max="12557" width="13.85546875" bestFit="1" customWidth="1"/>
    <col min="12558" max="12558" width="14.42578125" bestFit="1" customWidth="1"/>
    <col min="12801" max="12801" width="6.42578125" bestFit="1" customWidth="1"/>
    <col min="12802" max="12802" width="65.7109375" customWidth="1"/>
    <col min="12803" max="12803" width="5.28515625" bestFit="1" customWidth="1"/>
    <col min="12804" max="12804" width="23.85546875" customWidth="1"/>
    <col min="12805" max="12805" width="29" bestFit="1" customWidth="1"/>
    <col min="12806" max="12806" width="26" bestFit="1" customWidth="1"/>
    <col min="12807" max="12807" width="26.5703125" bestFit="1" customWidth="1"/>
    <col min="12808" max="12808" width="16.28515625" customWidth="1"/>
    <col min="12809" max="12809" width="29.5703125" customWidth="1"/>
    <col min="12810" max="12810" width="21.85546875" customWidth="1"/>
    <col min="12811" max="12811" width="30" bestFit="1" customWidth="1"/>
    <col min="12812" max="12812" width="23.5703125" bestFit="1" customWidth="1"/>
    <col min="12813" max="12813" width="13.85546875" bestFit="1" customWidth="1"/>
    <col min="12814" max="12814" width="14.42578125" bestFit="1" customWidth="1"/>
    <col min="13057" max="13057" width="6.42578125" bestFit="1" customWidth="1"/>
    <col min="13058" max="13058" width="65.7109375" customWidth="1"/>
    <col min="13059" max="13059" width="5.28515625" bestFit="1" customWidth="1"/>
    <col min="13060" max="13060" width="23.85546875" customWidth="1"/>
    <col min="13061" max="13061" width="29" bestFit="1" customWidth="1"/>
    <col min="13062" max="13062" width="26" bestFit="1" customWidth="1"/>
    <col min="13063" max="13063" width="26.5703125" bestFit="1" customWidth="1"/>
    <col min="13064" max="13064" width="16.28515625" customWidth="1"/>
    <col min="13065" max="13065" width="29.5703125" customWidth="1"/>
    <col min="13066" max="13066" width="21.85546875" customWidth="1"/>
    <col min="13067" max="13067" width="30" bestFit="1" customWidth="1"/>
    <col min="13068" max="13068" width="23.5703125" bestFit="1" customWidth="1"/>
    <col min="13069" max="13069" width="13.85546875" bestFit="1" customWidth="1"/>
    <col min="13070" max="13070" width="14.42578125" bestFit="1" customWidth="1"/>
    <col min="13313" max="13313" width="6.42578125" bestFit="1" customWidth="1"/>
    <col min="13314" max="13314" width="65.7109375" customWidth="1"/>
    <col min="13315" max="13315" width="5.28515625" bestFit="1" customWidth="1"/>
    <col min="13316" max="13316" width="23.85546875" customWidth="1"/>
    <col min="13317" max="13317" width="29" bestFit="1" customWidth="1"/>
    <col min="13318" max="13318" width="26" bestFit="1" customWidth="1"/>
    <col min="13319" max="13319" width="26.5703125" bestFit="1" customWidth="1"/>
    <col min="13320" max="13320" width="16.28515625" customWidth="1"/>
    <col min="13321" max="13321" width="29.5703125" customWidth="1"/>
    <col min="13322" max="13322" width="21.85546875" customWidth="1"/>
    <col min="13323" max="13323" width="30" bestFit="1" customWidth="1"/>
    <col min="13324" max="13324" width="23.5703125" bestFit="1" customWidth="1"/>
    <col min="13325" max="13325" width="13.85546875" bestFit="1" customWidth="1"/>
    <col min="13326" max="13326" width="14.42578125" bestFit="1" customWidth="1"/>
    <col min="13569" max="13569" width="6.42578125" bestFit="1" customWidth="1"/>
    <col min="13570" max="13570" width="65.7109375" customWidth="1"/>
    <col min="13571" max="13571" width="5.28515625" bestFit="1" customWidth="1"/>
    <col min="13572" max="13572" width="23.85546875" customWidth="1"/>
    <col min="13573" max="13573" width="29" bestFit="1" customWidth="1"/>
    <col min="13574" max="13574" width="26" bestFit="1" customWidth="1"/>
    <col min="13575" max="13575" width="26.5703125" bestFit="1" customWidth="1"/>
    <col min="13576" max="13576" width="16.28515625" customWidth="1"/>
    <col min="13577" max="13577" width="29.5703125" customWidth="1"/>
    <col min="13578" max="13578" width="21.85546875" customWidth="1"/>
    <col min="13579" max="13579" width="30" bestFit="1" customWidth="1"/>
    <col min="13580" max="13580" width="23.5703125" bestFit="1" customWidth="1"/>
    <col min="13581" max="13581" width="13.85546875" bestFit="1" customWidth="1"/>
    <col min="13582" max="13582" width="14.42578125" bestFit="1" customWidth="1"/>
    <col min="13825" max="13825" width="6.42578125" bestFit="1" customWidth="1"/>
    <col min="13826" max="13826" width="65.7109375" customWidth="1"/>
    <col min="13827" max="13827" width="5.28515625" bestFit="1" customWidth="1"/>
    <col min="13828" max="13828" width="23.85546875" customWidth="1"/>
    <col min="13829" max="13829" width="29" bestFit="1" customWidth="1"/>
    <col min="13830" max="13830" width="26" bestFit="1" customWidth="1"/>
    <col min="13831" max="13831" width="26.5703125" bestFit="1" customWidth="1"/>
    <col min="13832" max="13832" width="16.28515625" customWidth="1"/>
    <col min="13833" max="13833" width="29.5703125" customWidth="1"/>
    <col min="13834" max="13834" width="21.85546875" customWidth="1"/>
    <col min="13835" max="13835" width="30" bestFit="1" customWidth="1"/>
    <col min="13836" max="13836" width="23.5703125" bestFit="1" customWidth="1"/>
    <col min="13837" max="13837" width="13.85546875" bestFit="1" customWidth="1"/>
    <col min="13838" max="13838" width="14.42578125" bestFit="1" customWidth="1"/>
    <col min="14081" max="14081" width="6.42578125" bestFit="1" customWidth="1"/>
    <col min="14082" max="14082" width="65.7109375" customWidth="1"/>
    <col min="14083" max="14083" width="5.28515625" bestFit="1" customWidth="1"/>
    <col min="14084" max="14084" width="23.85546875" customWidth="1"/>
    <col min="14085" max="14085" width="29" bestFit="1" customWidth="1"/>
    <col min="14086" max="14086" width="26" bestFit="1" customWidth="1"/>
    <col min="14087" max="14087" width="26.5703125" bestFit="1" customWidth="1"/>
    <col min="14088" max="14088" width="16.28515625" customWidth="1"/>
    <col min="14089" max="14089" width="29.5703125" customWidth="1"/>
    <col min="14090" max="14090" width="21.85546875" customWidth="1"/>
    <col min="14091" max="14091" width="30" bestFit="1" customWidth="1"/>
    <col min="14092" max="14092" width="23.5703125" bestFit="1" customWidth="1"/>
    <col min="14093" max="14093" width="13.85546875" bestFit="1" customWidth="1"/>
    <col min="14094" max="14094" width="14.42578125" bestFit="1" customWidth="1"/>
    <col min="14337" max="14337" width="6.42578125" bestFit="1" customWidth="1"/>
    <col min="14338" max="14338" width="65.7109375" customWidth="1"/>
    <col min="14339" max="14339" width="5.28515625" bestFit="1" customWidth="1"/>
    <col min="14340" max="14340" width="23.85546875" customWidth="1"/>
    <col min="14341" max="14341" width="29" bestFit="1" customWidth="1"/>
    <col min="14342" max="14342" width="26" bestFit="1" customWidth="1"/>
    <col min="14343" max="14343" width="26.5703125" bestFit="1" customWidth="1"/>
    <col min="14344" max="14344" width="16.28515625" customWidth="1"/>
    <col min="14345" max="14345" width="29.5703125" customWidth="1"/>
    <col min="14346" max="14346" width="21.85546875" customWidth="1"/>
    <col min="14347" max="14347" width="30" bestFit="1" customWidth="1"/>
    <col min="14348" max="14348" width="23.5703125" bestFit="1" customWidth="1"/>
    <col min="14349" max="14349" width="13.85546875" bestFit="1" customWidth="1"/>
    <col min="14350" max="14350" width="14.42578125" bestFit="1" customWidth="1"/>
    <col min="14593" max="14593" width="6.42578125" bestFit="1" customWidth="1"/>
    <col min="14594" max="14594" width="65.7109375" customWidth="1"/>
    <col min="14595" max="14595" width="5.28515625" bestFit="1" customWidth="1"/>
    <col min="14596" max="14596" width="23.85546875" customWidth="1"/>
    <col min="14597" max="14597" width="29" bestFit="1" customWidth="1"/>
    <col min="14598" max="14598" width="26" bestFit="1" customWidth="1"/>
    <col min="14599" max="14599" width="26.5703125" bestFit="1" customWidth="1"/>
    <col min="14600" max="14600" width="16.28515625" customWidth="1"/>
    <col min="14601" max="14601" width="29.5703125" customWidth="1"/>
    <col min="14602" max="14602" width="21.85546875" customWidth="1"/>
    <col min="14603" max="14603" width="30" bestFit="1" customWidth="1"/>
    <col min="14604" max="14604" width="23.5703125" bestFit="1" customWidth="1"/>
    <col min="14605" max="14605" width="13.85546875" bestFit="1" customWidth="1"/>
    <col min="14606" max="14606" width="14.42578125" bestFit="1" customWidth="1"/>
    <col min="14849" max="14849" width="6.42578125" bestFit="1" customWidth="1"/>
    <col min="14850" max="14850" width="65.7109375" customWidth="1"/>
    <col min="14851" max="14851" width="5.28515625" bestFit="1" customWidth="1"/>
    <col min="14852" max="14852" width="23.85546875" customWidth="1"/>
    <col min="14853" max="14853" width="29" bestFit="1" customWidth="1"/>
    <col min="14854" max="14854" width="26" bestFit="1" customWidth="1"/>
    <col min="14855" max="14855" width="26.5703125" bestFit="1" customWidth="1"/>
    <col min="14856" max="14856" width="16.28515625" customWidth="1"/>
    <col min="14857" max="14857" width="29.5703125" customWidth="1"/>
    <col min="14858" max="14858" width="21.85546875" customWidth="1"/>
    <col min="14859" max="14859" width="30" bestFit="1" customWidth="1"/>
    <col min="14860" max="14860" width="23.5703125" bestFit="1" customWidth="1"/>
    <col min="14861" max="14861" width="13.85546875" bestFit="1" customWidth="1"/>
    <col min="14862" max="14862" width="14.42578125" bestFit="1" customWidth="1"/>
    <col min="15105" max="15105" width="6.42578125" bestFit="1" customWidth="1"/>
    <col min="15106" max="15106" width="65.7109375" customWidth="1"/>
    <col min="15107" max="15107" width="5.28515625" bestFit="1" customWidth="1"/>
    <col min="15108" max="15108" width="23.85546875" customWidth="1"/>
    <col min="15109" max="15109" width="29" bestFit="1" customWidth="1"/>
    <col min="15110" max="15110" width="26" bestFit="1" customWidth="1"/>
    <col min="15111" max="15111" width="26.5703125" bestFit="1" customWidth="1"/>
    <col min="15112" max="15112" width="16.28515625" customWidth="1"/>
    <col min="15113" max="15113" width="29.5703125" customWidth="1"/>
    <col min="15114" max="15114" width="21.85546875" customWidth="1"/>
    <col min="15115" max="15115" width="30" bestFit="1" customWidth="1"/>
    <col min="15116" max="15116" width="23.5703125" bestFit="1" customWidth="1"/>
    <col min="15117" max="15117" width="13.85546875" bestFit="1" customWidth="1"/>
    <col min="15118" max="15118" width="14.42578125" bestFit="1" customWidth="1"/>
    <col min="15361" max="15361" width="6.42578125" bestFit="1" customWidth="1"/>
    <col min="15362" max="15362" width="65.7109375" customWidth="1"/>
    <col min="15363" max="15363" width="5.28515625" bestFit="1" customWidth="1"/>
    <col min="15364" max="15364" width="23.85546875" customWidth="1"/>
    <col min="15365" max="15365" width="29" bestFit="1" customWidth="1"/>
    <col min="15366" max="15366" width="26" bestFit="1" customWidth="1"/>
    <col min="15367" max="15367" width="26.5703125" bestFit="1" customWidth="1"/>
    <col min="15368" max="15368" width="16.28515625" customWidth="1"/>
    <col min="15369" max="15369" width="29.5703125" customWidth="1"/>
    <col min="15370" max="15370" width="21.85546875" customWidth="1"/>
    <col min="15371" max="15371" width="30" bestFit="1" customWidth="1"/>
    <col min="15372" max="15372" width="23.5703125" bestFit="1" customWidth="1"/>
    <col min="15373" max="15373" width="13.85546875" bestFit="1" customWidth="1"/>
    <col min="15374" max="15374" width="14.42578125" bestFit="1" customWidth="1"/>
    <col min="15617" max="15617" width="6.42578125" bestFit="1" customWidth="1"/>
    <col min="15618" max="15618" width="65.7109375" customWidth="1"/>
    <col min="15619" max="15619" width="5.28515625" bestFit="1" customWidth="1"/>
    <col min="15620" max="15620" width="23.85546875" customWidth="1"/>
    <col min="15621" max="15621" width="29" bestFit="1" customWidth="1"/>
    <col min="15622" max="15622" width="26" bestFit="1" customWidth="1"/>
    <col min="15623" max="15623" width="26.5703125" bestFit="1" customWidth="1"/>
    <col min="15624" max="15624" width="16.28515625" customWidth="1"/>
    <col min="15625" max="15625" width="29.5703125" customWidth="1"/>
    <col min="15626" max="15626" width="21.85546875" customWidth="1"/>
    <col min="15627" max="15627" width="30" bestFit="1" customWidth="1"/>
    <col min="15628" max="15628" width="23.5703125" bestFit="1" customWidth="1"/>
    <col min="15629" max="15629" width="13.85546875" bestFit="1" customWidth="1"/>
    <col min="15630" max="15630" width="14.42578125" bestFit="1" customWidth="1"/>
    <col min="15873" max="15873" width="6.42578125" bestFit="1" customWidth="1"/>
    <col min="15874" max="15874" width="65.7109375" customWidth="1"/>
    <col min="15875" max="15875" width="5.28515625" bestFit="1" customWidth="1"/>
    <col min="15876" max="15876" width="23.85546875" customWidth="1"/>
    <col min="15877" max="15877" width="29" bestFit="1" customWidth="1"/>
    <col min="15878" max="15878" width="26" bestFit="1" customWidth="1"/>
    <col min="15879" max="15879" width="26.5703125" bestFit="1" customWidth="1"/>
    <col min="15880" max="15880" width="16.28515625" customWidth="1"/>
    <col min="15881" max="15881" width="29.5703125" customWidth="1"/>
    <col min="15882" max="15882" width="21.85546875" customWidth="1"/>
    <col min="15883" max="15883" width="30" bestFit="1" customWidth="1"/>
    <col min="15884" max="15884" width="23.5703125" bestFit="1" customWidth="1"/>
    <col min="15885" max="15885" width="13.85546875" bestFit="1" customWidth="1"/>
    <col min="15886" max="15886" width="14.42578125" bestFit="1" customWidth="1"/>
    <col min="16129" max="16129" width="6.42578125" bestFit="1" customWidth="1"/>
    <col min="16130" max="16130" width="65.7109375" customWidth="1"/>
    <col min="16131" max="16131" width="5.28515625" bestFit="1" customWidth="1"/>
    <col min="16132" max="16132" width="23.85546875" customWidth="1"/>
    <col min="16133" max="16133" width="29" bestFit="1" customWidth="1"/>
    <col min="16134" max="16134" width="26" bestFit="1" customWidth="1"/>
    <col min="16135" max="16135" width="26.5703125" bestFit="1" customWidth="1"/>
    <col min="16136" max="16136" width="16.28515625" customWidth="1"/>
    <col min="16137" max="16137" width="29.5703125" customWidth="1"/>
    <col min="16138" max="16138" width="21.85546875" customWidth="1"/>
    <col min="16139" max="16139" width="30" bestFit="1" customWidth="1"/>
    <col min="16140" max="16140" width="23.5703125" bestFit="1" customWidth="1"/>
    <col min="16141" max="16141" width="13.85546875" bestFit="1" customWidth="1"/>
    <col min="16142" max="16142" width="14.42578125" bestFit="1" customWidth="1"/>
  </cols>
  <sheetData>
    <row r="1" spans="1:22" x14ac:dyDescent="0.25">
      <c r="A1" s="6" t="s">
        <v>509</v>
      </c>
      <c r="B1" s="6" t="s">
        <v>505</v>
      </c>
      <c r="C1" s="6" t="s">
        <v>552</v>
      </c>
      <c r="D1" s="6" t="s">
        <v>510</v>
      </c>
      <c r="E1" s="6" t="s">
        <v>511</v>
      </c>
      <c r="F1" s="6" t="s">
        <v>512</v>
      </c>
      <c r="G1" s="6" t="s">
        <v>513</v>
      </c>
      <c r="H1" s="6" t="s">
        <v>514</v>
      </c>
      <c r="I1" s="6" t="s">
        <v>515</v>
      </c>
      <c r="J1" s="6" t="s">
        <v>516</v>
      </c>
      <c r="K1" s="6" t="s">
        <v>517</v>
      </c>
      <c r="L1" s="6" t="s">
        <v>518</v>
      </c>
      <c r="M1" s="6" t="s">
        <v>519</v>
      </c>
      <c r="N1" s="6" t="s">
        <v>520</v>
      </c>
      <c r="O1" s="6" t="s">
        <v>521</v>
      </c>
      <c r="P1" s="6" t="s">
        <v>522</v>
      </c>
      <c r="Q1" s="6" t="s">
        <v>523</v>
      </c>
      <c r="R1" s="6" t="s">
        <v>524</v>
      </c>
      <c r="S1" s="6" t="s">
        <v>525</v>
      </c>
      <c r="T1" s="6" t="s">
        <v>526</v>
      </c>
      <c r="U1" s="6" t="s">
        <v>527</v>
      </c>
      <c r="V1" s="6" t="s">
        <v>528</v>
      </c>
    </row>
    <row r="2" spans="1:22" x14ac:dyDescent="0.25">
      <c r="A2" s="3">
        <v>1</v>
      </c>
      <c r="B2" s="8" t="s">
        <v>583</v>
      </c>
      <c r="C2" s="12"/>
      <c r="D2" s="16" t="s">
        <v>95</v>
      </c>
      <c r="E2" s="11" t="str">
        <f>IFERROR(IF(VLOOKUP($D2,DoNotTouch!$B:$Y,2,FALSE)&lt;&gt;0,(VLOOKUP($D2,DoNotTouch!$B:$Y,2,FALSE)),""),"")</f>
        <v/>
      </c>
      <c r="F2" s="11" t="str">
        <f>IFERROR(IF(VLOOKUP($D2,DoNotTouch!$B:$Y,3,FALSE)&lt;&gt;0,(VLOOKUP($D2,DoNotTouch!$B:$Y,3,FALSE)),""),"")</f>
        <v/>
      </c>
      <c r="G2" s="11" t="str">
        <f>IFERROR(IF(VLOOKUP($D2,DoNotTouch!$B:$Y,4,FALSE)&lt;&gt;0,(VLOOKUP($D2,DoNotTouch!$B:$Y,4,FALSE)),""),"")</f>
        <v/>
      </c>
      <c r="H2" s="11" t="str">
        <f>IFERROR(IF(VLOOKUP($D2,DoNotTouch!$B:$Y,5,FALSE)&lt;&gt;0,(VLOOKUP($D2,DoNotTouch!$B:$Y,5,FALSE)),""),"")</f>
        <v/>
      </c>
      <c r="I2" s="11" t="str">
        <f>IFERROR(IF(VLOOKUP($D2,DoNotTouch!$B:$Y,6,FALSE)&lt;&gt;0,(VLOOKUP($D2,DoNotTouch!$B:$Y,6,FALSE)),""),"")</f>
        <v/>
      </c>
      <c r="J2" s="11" t="str">
        <f>IFERROR(IF(VLOOKUP($D2,DoNotTouch!$B:$Y,7,FALSE)&lt;&gt;0,(VLOOKUP($D2,DoNotTouch!$B:$Y,7,FALSE)),""),"")</f>
        <v/>
      </c>
      <c r="K2" s="11" t="str">
        <f>IFERROR(IF(VLOOKUP($D2,DoNotTouch!$B:$Y,8,FALSE)&lt;&gt;0,(VLOOKUP($D2,DoNotTouch!$B:$Y,8,FALSE)),""),"")</f>
        <v/>
      </c>
      <c r="L2" s="11" t="str">
        <f>IFERROR(IF(VLOOKUP($D2,DoNotTouch!$B:$Y,9,FALSE)&lt;&gt;0,(VLOOKUP($D2,DoNotTouch!$B:$Y,9,FALSE)),""),"")</f>
        <v/>
      </c>
      <c r="M2" s="11" t="str">
        <f>IFERROR(IF(VLOOKUP($D2,DoNotTouch!$B:$Y,10,FALSE)&lt;&gt;0,(VLOOKUP($D2,DoNotTouch!$B:$Y,10,FALSE)),""),"")</f>
        <v/>
      </c>
      <c r="N2" s="11" t="str">
        <f>IFERROR(IF(VLOOKUP($D2,DoNotTouch!$B:$Y,11,FALSE)&lt;&gt;0,(VLOOKUP($D2,DoNotTouch!$B:$Y,11,FALSE)),""),"")</f>
        <v/>
      </c>
      <c r="O2" s="11" t="str">
        <f>IFERROR(IF(VLOOKUP($D2,DoNotTouch!$B:$Y,12,FALSE)&lt;&gt;0,(VLOOKUP($D2,DoNotTouch!$B:$Y,12,FALSE)),""),"")</f>
        <v/>
      </c>
      <c r="P2" s="11" t="str">
        <f>IFERROR(IF(VLOOKUP($D2,DoNotTouch!$B:$Y,13,FALSE)&lt;&gt;0,(VLOOKUP($D2,DoNotTouch!$B:$Y,13,FALSE)),""),"")</f>
        <v/>
      </c>
      <c r="Q2" s="11" t="str">
        <f>IFERROR(IF(VLOOKUP($D2,DoNotTouch!$B:$Y,14,FALSE)&lt;&gt;0,(VLOOKUP($D2,DoNotTouch!$B:$Y,14,FALSE)),""),"")</f>
        <v/>
      </c>
      <c r="R2" s="11" t="str">
        <f>IFERROR(IF(VLOOKUP($D2,DoNotTouch!$B:$Y,15,FALSE)&lt;&gt;0,(VLOOKUP($D2,DoNotTouch!$B:$Y,15,FALSE)),""),"")</f>
        <v/>
      </c>
      <c r="S2" s="11" t="str">
        <f>IFERROR(IF(VLOOKUP($D2,DoNotTouch!$B:$Y,16,FALSE)&lt;&gt;0,(VLOOKUP($D2,DoNotTouch!$B:$Y,16,FALSE)),""),"")</f>
        <v/>
      </c>
      <c r="T2" s="11" t="str">
        <f>IFERROR(IF(VLOOKUP($D2,DoNotTouch!$B:$Y,17,FALSE)&lt;&gt;0,(VLOOKUP($D2,DoNotTouch!$B:$Y,17,FALSE)),""),"")</f>
        <v/>
      </c>
      <c r="U2" s="11" t="str">
        <f>IFERROR(IF(VLOOKUP($D2,DoNotTouch!$B:$Y,18,FALSE)&lt;&gt;0,(VLOOKUP($D2,DoNotTouch!$B:$Y,18,FALSE)),""),"")</f>
        <v/>
      </c>
      <c r="V2" s="8" t="str">
        <f>IFERROR(IF(VLOOKUP($D2,DoNotTouch!$B:$Y,19,FALSE)&lt;&gt;0,(VLOOKUP($D2,DoNotTouch!$B:$Y,19,FALSE)),""),"")</f>
        <v/>
      </c>
    </row>
    <row r="3" spans="1:22" x14ac:dyDescent="0.25">
      <c r="A3" s="3">
        <v>2</v>
      </c>
      <c r="B3" s="8" t="s">
        <v>583</v>
      </c>
      <c r="C3" s="12" t="s">
        <v>553</v>
      </c>
      <c r="D3" s="16" t="s">
        <v>7</v>
      </c>
      <c r="E3" s="11" t="str">
        <f>IFERROR(IF(VLOOKUP($D3,DoNotTouch!$B:$Y,2,FALSE)&lt;&gt;0,(VLOOKUP($D3,DoNotTouch!$B:$Y,2,FALSE)),""),"")</f>
        <v>MI: Expected Row Count</v>
      </c>
      <c r="F3" s="11" t="str">
        <f>IFERROR(IF(VLOOKUP($D3,DoNotTouch!$B:$Y,3,FALSE)&lt;&gt;0,(VLOOKUP($D3,DoNotTouch!$B:$Y,3,FALSE)),""),"")</f>
        <v>MI: Instruction Id</v>
      </c>
      <c r="G3" s="11" t="str">
        <f>IFERROR(IF(VLOOKUP($D3,DoNotTouch!$B:$Y,4,FALSE)&lt;&gt;0,(VLOOKUP($D3,DoNotTouch!$B:$Y,4,FALSE)),""),"")</f>
        <v>MI: Interchange ID</v>
      </c>
      <c r="H3" s="11" t="str">
        <f>IFERROR(IF(VLOOKUP($D3,DoNotTouch!$B:$Y,5,FALSE)&lt;&gt;0,(VLOOKUP($D3,DoNotTouch!$B:$Y,5,FALSE)),""),"")</f>
        <v>MI: Instruction Reference</v>
      </c>
      <c r="I3" s="11" t="str">
        <f>IFERROR(IF(VLOOKUP($D3,DoNotTouch!$B:$Y,6,FALSE)&lt;&gt;0,(VLOOKUP($D3,DoNotTouch!$B:$Y,6,FALSE)),""),"")</f>
        <v>MI: Originating Party Account</v>
      </c>
      <c r="J3" s="11" t="str">
        <f>IFERROR(IF(VLOOKUP($D3,DoNotTouch!$B:$Y,7,FALSE)&lt;&gt;0,(VLOOKUP($D3,DoNotTouch!$B:$Y,7,FALSE)),""),"")</f>
        <v>MI: Instruction Type</v>
      </c>
      <c r="K3" s="11" t="str">
        <f>IFERROR(IF(VLOOKUP($D3,DoNotTouch!$B:$Y,8,FALSE)&lt;&gt;0,(VLOOKUP($D3,DoNotTouch!$B:$Y,8,FALSE)),""),"")</f>
        <v>MI: Classification</v>
      </c>
      <c r="L3" s="11" t="str">
        <f>IFERROR(IF(VLOOKUP($D3,DoNotTouch!$B:$Y,9,FALSE)&lt;&gt;0,(VLOOKUP($D3,DoNotTouch!$B:$Y,9,FALSE)),""),"")</f>
        <v>MI: Direction</v>
      </c>
      <c r="M3" s="11" t="str">
        <f>IFERROR(IF(VLOOKUP($D3,DoNotTouch!$B:$Y,10,FALSE)&lt;&gt;0,(VLOOKUP($D3,DoNotTouch!$B:$Y,10,FALSE)),""),"")</f>
        <v>MI: Bank</v>
      </c>
      <c r="N3" s="11" t="str">
        <f>IFERROR(IF(VLOOKUP($D3,DoNotTouch!$B:$Y,11,FALSE)&lt;&gt;0,(VLOOKUP($D3,DoNotTouch!$B:$Y,11,FALSE)),""),"")</f>
        <v>MI: Status</v>
      </c>
      <c r="O3" s="11" t="str">
        <f>IFERROR(IF(VLOOKUP($D3,DoNotTouch!$B:$Y,12,FALSE)&lt;&gt;0,(VLOOKUP($D3,DoNotTouch!$B:$Y,12,FALSE)),""),"")</f>
        <v>OI: TransportDateFrom</v>
      </c>
      <c r="P3" s="11" t="str">
        <f>IFERROR(IF(VLOOKUP($D3,DoNotTouch!$B:$Y,13,FALSE)&lt;&gt;0,(VLOOKUP($D3,DoNotTouch!$B:$Y,13,FALSE)),""),"")</f>
        <v>OI: TransportDateTo</v>
      </c>
      <c r="Q3" s="11" t="str">
        <f>IFERROR(IF(VLOOKUP($D3,DoNotTouch!$B:$Y,14,FALSE)&lt;&gt;0,(VLOOKUP($D3,DoNotTouch!$B:$Y,14,FALSE)),""),"")</f>
        <v>OI: TransportTimeFrom</v>
      </c>
      <c r="R3" s="11" t="str">
        <f>IFERROR(IF(VLOOKUP($D3,DoNotTouch!$B:$Y,15,FALSE)&lt;&gt;0,(VLOOKUP($D3,DoNotTouch!$B:$Y,15,FALSE)),""),"")</f>
        <v>OI: TransportTimeTo</v>
      </c>
      <c r="S3" s="11" t="str">
        <f>IFERROR(IF(VLOOKUP($D3,DoNotTouch!$B:$Y,16,FALSE)&lt;&gt;0,(VLOOKUP($D3,DoNotTouch!$B:$Y,16,FALSE)),""),"")</f>
        <v>OI: SettlementDateFrom</v>
      </c>
      <c r="T3" s="11" t="str">
        <f>IFERROR(IF(VLOOKUP($D3,DoNotTouch!$B:$Y,17,FALSE)&lt;&gt;0,(VLOOKUP($D3,DoNotTouch!$B:$Y,17,FALSE)),""),"")</f>
        <v>OI: SettlementDateFrom</v>
      </c>
      <c r="U3" s="11" t="str">
        <f>IFERROR(IF(VLOOKUP($D3,DoNotTouch!$B:$Y,18,FALSE)&lt;&gt;0,(VLOOKUP($D3,DoNotTouch!$B:$Y,18,FALSE)),""),"")</f>
        <v/>
      </c>
      <c r="V3" s="8" t="str">
        <f>IFERROR(IF(VLOOKUP($D3,DoNotTouch!$B:$Y,19,FALSE)&lt;&gt;0,(VLOOKUP($D3,DoNotTouch!$B:$Y,19,FALSE)),""),"")</f>
        <v/>
      </c>
    </row>
    <row r="4" spans="1:22" x14ac:dyDescent="0.25">
      <c r="A4" s="3">
        <v>3</v>
      </c>
      <c r="B4" s="8" t="s">
        <v>583</v>
      </c>
      <c r="C4" s="12" t="s">
        <v>484</v>
      </c>
      <c r="D4" s="16" t="s">
        <v>49</v>
      </c>
      <c r="E4" s="11" t="str">
        <f>IFERROR(IF(VLOOKUP($D4,DoNotTouch!$B:$Y,2,FALSE)&lt;&gt;0,(VLOOKUP($D4,DoNotTouch!$B:$Y,2,FALSE)),""),"")</f>
        <v>MO: Interchange ID</v>
      </c>
      <c r="F4" s="11" t="str">
        <f>IFERROR(IF(VLOOKUP($D4,DoNotTouch!$B:$Y,3,FALSE)&lt;&gt;0,(VLOOKUP($D4,DoNotTouch!$B:$Y,3,FALSE)),""),"")</f>
        <v>MO: Instruction ID</v>
      </c>
      <c r="G4" s="11" t="str">
        <f>IFERROR(IF(VLOOKUP($D4,DoNotTouch!$B:$Y,4,FALSE)&lt;&gt;0,(VLOOKUP($D4,DoNotTouch!$B:$Y,4,FALSE)),""),"")</f>
        <v>MO: Transaction ID</v>
      </c>
      <c r="H4" s="11" t="str">
        <f>IFERROR(IF(VLOOKUP($D4,DoNotTouch!$B:$Y,5,FALSE)&lt;&gt;0,(VLOOKUP($D4,DoNotTouch!$B:$Y,5,FALSE)),""),"")</f>
        <v/>
      </c>
      <c r="I4" s="11" t="str">
        <f>IFERROR(IF(VLOOKUP($D4,DoNotTouch!$B:$Y,6,FALSE)&lt;&gt;0,(VLOOKUP($D4,DoNotTouch!$B:$Y,6,FALSE)),""),"")</f>
        <v/>
      </c>
      <c r="J4" s="11" t="str">
        <f>IFERROR(IF(VLOOKUP($D4,DoNotTouch!$B:$Y,7,FALSE)&lt;&gt;0,(VLOOKUP($D4,DoNotTouch!$B:$Y,7,FALSE)),""),"")</f>
        <v/>
      </c>
      <c r="K4" s="11" t="str">
        <f>IFERROR(IF(VLOOKUP($D4,DoNotTouch!$B:$Y,8,FALSE)&lt;&gt;0,(VLOOKUP($D4,DoNotTouch!$B:$Y,8,FALSE)),""),"")</f>
        <v/>
      </c>
      <c r="L4" s="11" t="str">
        <f>IFERROR(IF(VLOOKUP($D4,DoNotTouch!$B:$Y,9,FALSE)&lt;&gt;0,(VLOOKUP($D4,DoNotTouch!$B:$Y,9,FALSE)),""),"")</f>
        <v/>
      </c>
      <c r="M4" s="11" t="str">
        <f>IFERROR(IF(VLOOKUP($D4,DoNotTouch!$B:$Y,10,FALSE)&lt;&gt;0,(VLOOKUP($D4,DoNotTouch!$B:$Y,10,FALSE)),""),"")</f>
        <v/>
      </c>
      <c r="N4" s="11" t="str">
        <f>IFERROR(IF(VLOOKUP($D4,DoNotTouch!$B:$Y,11,FALSE)&lt;&gt;0,(VLOOKUP($D4,DoNotTouch!$B:$Y,11,FALSE)),""),"")</f>
        <v/>
      </c>
      <c r="O4" s="11" t="str">
        <f>IFERROR(IF(VLOOKUP($D4,DoNotTouch!$B:$Y,12,FALSE)&lt;&gt;0,(VLOOKUP($D4,DoNotTouch!$B:$Y,12,FALSE)),""),"")</f>
        <v/>
      </c>
      <c r="P4" s="11" t="str">
        <f>IFERROR(IF(VLOOKUP($D4,DoNotTouch!$B:$Y,13,FALSE)&lt;&gt;0,(VLOOKUP($D4,DoNotTouch!$B:$Y,13,FALSE)),""),"")</f>
        <v/>
      </c>
      <c r="Q4" s="11" t="str">
        <f>IFERROR(IF(VLOOKUP($D4,DoNotTouch!$B:$Y,14,FALSE)&lt;&gt;0,(VLOOKUP($D4,DoNotTouch!$B:$Y,14,FALSE)),""),"")</f>
        <v/>
      </c>
      <c r="R4" s="11" t="str">
        <f>IFERROR(IF(VLOOKUP($D4,DoNotTouch!$B:$Y,15,FALSE)&lt;&gt;0,(VLOOKUP($D4,DoNotTouch!$B:$Y,15,FALSE)),""),"")</f>
        <v/>
      </c>
      <c r="S4" s="11" t="str">
        <f>IFERROR(IF(VLOOKUP($D4,DoNotTouch!$B:$Y,16,FALSE)&lt;&gt;0,(VLOOKUP($D4,DoNotTouch!$B:$Y,16,FALSE)),""),"")</f>
        <v/>
      </c>
      <c r="T4" s="11" t="str">
        <f>IFERROR(IF(VLOOKUP($D4,DoNotTouch!$B:$Y,17,FALSE)&lt;&gt;0,(VLOOKUP($D4,DoNotTouch!$B:$Y,17,FALSE)),""),"")</f>
        <v/>
      </c>
      <c r="U4" s="11" t="str">
        <f>IFERROR(IF(VLOOKUP($D4,DoNotTouch!$B:$Y,18,FALSE)&lt;&gt;0,(VLOOKUP($D4,DoNotTouch!$B:$Y,18,FALSE)),""),"")</f>
        <v/>
      </c>
      <c r="V4" s="8" t="str">
        <f>IFERROR(IF(VLOOKUP($D4,DoNotTouch!$B:$Y,19,FALSE)&lt;&gt;0,(VLOOKUP($D4,DoNotTouch!$B:$Y,19,FALSE)),""),"")</f>
        <v/>
      </c>
    </row>
    <row r="5" spans="1:22" x14ac:dyDescent="0.25">
      <c r="A5" s="3">
        <v>4</v>
      </c>
      <c r="B5" s="8" t="s">
        <v>583</v>
      </c>
      <c r="C5" s="12" t="s">
        <v>551</v>
      </c>
      <c r="D5" s="16" t="s">
        <v>581</v>
      </c>
      <c r="E5" s="11" t="str">
        <f>IFERROR(IF(VLOOKUP($D5,DoNotTouch!$B:$Y,2,FALSE)&lt;&gt;0,(VLOOKUP($D5,DoNotTouch!$B:$Y,2,FALSE)),""),"")</f>
        <v/>
      </c>
      <c r="F5" s="11" t="str">
        <f>IFERROR(IF(VLOOKUP($D5,DoNotTouch!$B:$Y,3,FALSE)&lt;&gt;0,(VLOOKUP($D5,DoNotTouch!$B:$Y,3,FALSE)),""),"")</f>
        <v/>
      </c>
      <c r="G5" s="11" t="str">
        <f>IFERROR(IF(VLOOKUP($D5,DoNotTouch!$B:$Y,4,FALSE)&lt;&gt;0,(VLOOKUP($D5,DoNotTouch!$B:$Y,4,FALSE)),""),"")</f>
        <v/>
      </c>
      <c r="H5" s="11" t="str">
        <f>IFERROR(IF(VLOOKUP($D5,DoNotTouch!$B:$Y,5,FALSE)&lt;&gt;0,(VLOOKUP($D5,DoNotTouch!$B:$Y,5,FALSE)),""),"")</f>
        <v/>
      </c>
      <c r="I5" s="11" t="str">
        <f>IFERROR(IF(VLOOKUP($D5,DoNotTouch!$B:$Y,6,FALSE)&lt;&gt;0,(VLOOKUP($D5,DoNotTouch!$B:$Y,6,FALSE)),""),"")</f>
        <v/>
      </c>
      <c r="J5" s="11" t="str">
        <f>IFERROR(IF(VLOOKUP($D5,DoNotTouch!$B:$Y,7,FALSE)&lt;&gt;0,(VLOOKUP($D5,DoNotTouch!$B:$Y,7,FALSE)),""),"")</f>
        <v/>
      </c>
      <c r="K5" s="11" t="str">
        <f>IFERROR(IF(VLOOKUP($D5,DoNotTouch!$B:$Y,8,FALSE)&lt;&gt;0,(VLOOKUP($D5,DoNotTouch!$B:$Y,8,FALSE)),""),"")</f>
        <v/>
      </c>
      <c r="L5" s="11" t="str">
        <f>IFERROR(IF(VLOOKUP($D5,DoNotTouch!$B:$Y,9,FALSE)&lt;&gt;0,(VLOOKUP($D5,DoNotTouch!$B:$Y,9,FALSE)),""),"")</f>
        <v/>
      </c>
      <c r="M5" s="11" t="str">
        <f>IFERROR(IF(VLOOKUP($D5,DoNotTouch!$B:$Y,10,FALSE)&lt;&gt;0,(VLOOKUP($D5,DoNotTouch!$B:$Y,10,FALSE)),""),"")</f>
        <v/>
      </c>
      <c r="N5" s="11" t="str">
        <f>IFERROR(IF(VLOOKUP($D5,DoNotTouch!$B:$Y,11,FALSE)&lt;&gt;0,(VLOOKUP($D5,DoNotTouch!$B:$Y,11,FALSE)),""),"")</f>
        <v/>
      </c>
      <c r="O5" s="11" t="str">
        <f>IFERROR(IF(VLOOKUP($D5,DoNotTouch!$B:$Y,12,FALSE)&lt;&gt;0,(VLOOKUP($D5,DoNotTouch!$B:$Y,12,FALSE)),""),"")</f>
        <v/>
      </c>
      <c r="P5" s="11" t="str">
        <f>IFERROR(IF(VLOOKUP($D5,DoNotTouch!$B:$Y,13,FALSE)&lt;&gt;0,(VLOOKUP($D5,DoNotTouch!$B:$Y,13,FALSE)),""),"")</f>
        <v/>
      </c>
      <c r="Q5" s="11" t="str">
        <f>IFERROR(IF(VLOOKUP($D5,DoNotTouch!$B:$Y,14,FALSE)&lt;&gt;0,(VLOOKUP($D5,DoNotTouch!$B:$Y,14,FALSE)),""),"")</f>
        <v/>
      </c>
      <c r="R5" s="11" t="str">
        <f>IFERROR(IF(VLOOKUP($D5,DoNotTouch!$B:$Y,15,FALSE)&lt;&gt;0,(VLOOKUP($D5,DoNotTouch!$B:$Y,15,FALSE)),""),"")</f>
        <v/>
      </c>
      <c r="S5" s="11" t="str">
        <f>IFERROR(IF(VLOOKUP($D5,DoNotTouch!$B:$Y,16,FALSE)&lt;&gt;0,(VLOOKUP($D5,DoNotTouch!$B:$Y,16,FALSE)),""),"")</f>
        <v/>
      </c>
      <c r="T5" s="11" t="str">
        <f>IFERROR(IF(VLOOKUP($D5,DoNotTouch!$B:$Y,17,FALSE)&lt;&gt;0,(VLOOKUP($D5,DoNotTouch!$B:$Y,17,FALSE)),""),"")</f>
        <v/>
      </c>
      <c r="U5" s="11" t="str">
        <f>IFERROR(IF(VLOOKUP($D5,DoNotTouch!$B:$Y,18,FALSE)&lt;&gt;0,(VLOOKUP($D5,DoNotTouch!$B:$Y,18,FALSE)),""),"")</f>
        <v/>
      </c>
      <c r="V5" s="8" t="str">
        <f>IFERROR(IF(VLOOKUP($D5,DoNotTouch!$B:$Y,19,FALSE)&lt;&gt;0,(VLOOKUP($D5,DoNotTouch!$B:$Y,19,FALSE)),""),"")</f>
        <v/>
      </c>
    </row>
    <row r="6" spans="1:22" x14ac:dyDescent="0.25">
      <c r="A6" s="3">
        <v>5</v>
      </c>
      <c r="B6" s="8" t="s">
        <v>583</v>
      </c>
      <c r="C6" s="12"/>
      <c r="D6" s="16" t="s">
        <v>6</v>
      </c>
      <c r="E6" s="11" t="str">
        <f>IFERROR(IF(VLOOKUP($D6,DoNotTouch!$B:$Y,2,FALSE)&lt;&gt;0,(VLOOKUP($D6,DoNotTouch!$B:$Y,2,FALSE)),""),"")</f>
        <v/>
      </c>
      <c r="F6" s="11" t="str">
        <f>IFERROR(IF(VLOOKUP($D6,DoNotTouch!$B:$Y,3,FALSE)&lt;&gt;0,(VLOOKUP($D6,DoNotTouch!$B:$Y,3,FALSE)),""),"")</f>
        <v/>
      </c>
      <c r="G6" s="11" t="str">
        <f>IFERROR(IF(VLOOKUP($D6,DoNotTouch!$B:$Y,4,FALSE)&lt;&gt;0,(VLOOKUP($D6,DoNotTouch!$B:$Y,4,FALSE)),""),"")</f>
        <v/>
      </c>
      <c r="H6" s="11" t="str">
        <f>IFERROR(IF(VLOOKUP($D6,DoNotTouch!$B:$Y,5,FALSE)&lt;&gt;0,(VLOOKUP($D6,DoNotTouch!$B:$Y,5,FALSE)),""),"")</f>
        <v/>
      </c>
      <c r="I6" s="11" t="str">
        <f>IFERROR(IF(VLOOKUP($D6,DoNotTouch!$B:$Y,6,FALSE)&lt;&gt;0,(VLOOKUP($D6,DoNotTouch!$B:$Y,6,FALSE)),""),"")</f>
        <v/>
      </c>
      <c r="J6" s="11" t="str">
        <f>IFERROR(IF(VLOOKUP($D6,DoNotTouch!$B:$Y,7,FALSE)&lt;&gt;0,(VLOOKUP($D6,DoNotTouch!$B:$Y,7,FALSE)),""),"")</f>
        <v/>
      </c>
      <c r="K6" s="11" t="str">
        <f>IFERROR(IF(VLOOKUP($D6,DoNotTouch!$B:$Y,8,FALSE)&lt;&gt;0,(VLOOKUP($D6,DoNotTouch!$B:$Y,8,FALSE)),""),"")</f>
        <v/>
      </c>
      <c r="L6" s="11" t="str">
        <f>IFERROR(IF(VLOOKUP($D6,DoNotTouch!$B:$Y,9,FALSE)&lt;&gt;0,(VLOOKUP($D6,DoNotTouch!$B:$Y,9,FALSE)),""),"")</f>
        <v/>
      </c>
      <c r="M6" s="11" t="str">
        <f>IFERROR(IF(VLOOKUP($D6,DoNotTouch!$B:$Y,10,FALSE)&lt;&gt;0,(VLOOKUP($D6,DoNotTouch!$B:$Y,10,FALSE)),""),"")</f>
        <v/>
      </c>
      <c r="N6" s="11" t="str">
        <f>IFERROR(IF(VLOOKUP($D6,DoNotTouch!$B:$Y,11,FALSE)&lt;&gt;0,(VLOOKUP($D6,DoNotTouch!$B:$Y,11,FALSE)),""),"")</f>
        <v/>
      </c>
      <c r="O6" s="11" t="str">
        <f>IFERROR(IF(VLOOKUP($D6,DoNotTouch!$B:$Y,12,FALSE)&lt;&gt;0,(VLOOKUP($D6,DoNotTouch!$B:$Y,12,FALSE)),""),"")</f>
        <v/>
      </c>
      <c r="P6" s="11" t="str">
        <f>IFERROR(IF(VLOOKUP($D6,DoNotTouch!$B:$Y,13,FALSE)&lt;&gt;0,(VLOOKUP($D6,DoNotTouch!$B:$Y,13,FALSE)),""),"")</f>
        <v/>
      </c>
      <c r="Q6" s="11" t="str">
        <f>IFERROR(IF(VLOOKUP($D6,DoNotTouch!$B:$Y,14,FALSE)&lt;&gt;0,(VLOOKUP($D6,DoNotTouch!$B:$Y,14,FALSE)),""),"")</f>
        <v/>
      </c>
      <c r="R6" s="11" t="str">
        <f>IFERROR(IF(VLOOKUP($D6,DoNotTouch!$B:$Y,15,FALSE)&lt;&gt;0,(VLOOKUP($D6,DoNotTouch!$B:$Y,15,FALSE)),""),"")</f>
        <v/>
      </c>
      <c r="S6" s="11" t="str">
        <f>IFERROR(IF(VLOOKUP($D6,DoNotTouch!$B:$Y,16,FALSE)&lt;&gt;0,(VLOOKUP($D6,DoNotTouch!$B:$Y,16,FALSE)),""),"")</f>
        <v/>
      </c>
      <c r="T6" s="11" t="str">
        <f>IFERROR(IF(VLOOKUP($D6,DoNotTouch!$B:$Y,17,FALSE)&lt;&gt;0,(VLOOKUP($D6,DoNotTouch!$B:$Y,17,FALSE)),""),"")</f>
        <v/>
      </c>
      <c r="U6" s="11" t="str">
        <f>IFERROR(IF(VLOOKUP($D6,DoNotTouch!$B:$Y,18,FALSE)&lt;&gt;0,(VLOOKUP($D6,DoNotTouch!$B:$Y,18,FALSE)),""),"")</f>
        <v/>
      </c>
      <c r="V6" s="8" t="str">
        <f>IFERROR(IF(VLOOKUP($D6,DoNotTouch!$B:$Y,19,FALSE)&lt;&gt;0,(VLOOKUP($D6,DoNotTouch!$B:$Y,19,FALSE)),""),"")</f>
        <v/>
      </c>
    </row>
    <row r="7" spans="1:22" x14ac:dyDescent="0.25">
      <c r="A7" s="14"/>
      <c r="B7" s="14"/>
      <c r="C7" s="14"/>
      <c r="D7" s="14"/>
      <c r="E7" s="14"/>
      <c r="F7" s="14"/>
      <c r="G7" s="14"/>
      <c r="H7" s="14"/>
      <c r="I7" s="14"/>
      <c r="J7" s="14"/>
      <c r="K7" s="14"/>
      <c r="L7" s="14"/>
      <c r="M7" s="14"/>
      <c r="N7" s="14"/>
      <c r="O7" s="14"/>
      <c r="P7" s="14"/>
      <c r="Q7" s="14"/>
      <c r="R7" s="14"/>
      <c r="S7" s="14"/>
      <c r="T7" s="14"/>
      <c r="U7" s="14"/>
      <c r="V7" s="14"/>
    </row>
    <row r="961" spans="4:4" x14ac:dyDescent="0.25">
      <c r="D961" t="s">
        <v>581</v>
      </c>
    </row>
  </sheetData>
  <dataValidations count="1">
    <dataValidation type="list" allowBlank="1" showInputMessage="1" sqref="D2:D6">
      <formula1>search</formula1>
    </dataValidation>
  </dataValidations>
  <hyperlinks>
    <hyperlink ref="C2" r:id="rId1" display="D@18:00 "/>
    <hyperlink ref="C3" r:id="rId2" display="D@18:00 "/>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Z980"/>
  <sheetViews>
    <sheetView topLeftCell="U1" zoomScale="80" zoomScaleNormal="80" workbookViewId="0">
      <selection activeCell="Z1" sqref="Z1:Z26"/>
    </sheetView>
  </sheetViews>
  <sheetFormatPr defaultColWidth="27.5703125" defaultRowHeight="15" x14ac:dyDescent="0.25"/>
  <cols>
    <col min="1" max="1" width="8.85546875" bestFit="1" customWidth="1"/>
    <col min="2" max="2" width="62.85546875" bestFit="1" customWidth="1"/>
    <col min="3" max="3" width="25" customWidth="1"/>
    <col min="22" max="22" width="62.85546875" bestFit="1" customWidth="1"/>
  </cols>
  <sheetData>
    <row r="1" spans="1:26" x14ac:dyDescent="0.25">
      <c r="A1" t="s">
        <v>556</v>
      </c>
      <c r="B1" t="s">
        <v>142</v>
      </c>
      <c r="C1" t="s">
        <v>143</v>
      </c>
      <c r="D1" t="s">
        <v>144</v>
      </c>
      <c r="E1" t="s">
        <v>145</v>
      </c>
      <c r="F1" t="s">
        <v>146</v>
      </c>
      <c r="G1" t="s">
        <v>147</v>
      </c>
      <c r="H1" t="s">
        <v>148</v>
      </c>
      <c r="I1" t="s">
        <v>149</v>
      </c>
      <c r="J1" t="s">
        <v>150</v>
      </c>
      <c r="K1" t="s">
        <v>151</v>
      </c>
      <c r="L1" t="s">
        <v>152</v>
      </c>
      <c r="M1" t="s">
        <v>153</v>
      </c>
      <c r="N1" t="s">
        <v>154</v>
      </c>
      <c r="O1" t="s">
        <v>155</v>
      </c>
      <c r="P1" t="s">
        <v>156</v>
      </c>
      <c r="Q1" t="s">
        <v>157</v>
      </c>
      <c r="R1" t="s">
        <v>158</v>
      </c>
      <c r="S1" t="s">
        <v>159</v>
      </c>
      <c r="T1" t="s">
        <v>160</v>
      </c>
      <c r="Z1" t="s">
        <v>580</v>
      </c>
    </row>
    <row r="2" spans="1:26" x14ac:dyDescent="0.25">
      <c r="A2">
        <v>1</v>
      </c>
      <c r="B2" t="s">
        <v>19</v>
      </c>
      <c r="C2" t="s">
        <v>162</v>
      </c>
      <c r="D2" t="s">
        <v>163</v>
      </c>
      <c r="E2" t="s">
        <v>164</v>
      </c>
      <c r="F2" t="s">
        <v>165</v>
      </c>
      <c r="U2">
        <f>IF(ISNUMBER(SEARCH($D$969,$V$2:$V$500)),MAX($U$1:U1)+1,0)</f>
        <v>1</v>
      </c>
      <c r="V2" t="s">
        <v>19</v>
      </c>
      <c r="W2" t="str">
        <f>IFERROR(VLOOKUP(ROWS($W$2:W2),$U$2:$V$500,2,0),"")</f>
        <v>AcctRecon_FetchLatestFile</v>
      </c>
      <c r="Z2" t="s">
        <v>507</v>
      </c>
    </row>
    <row r="3" spans="1:26" x14ac:dyDescent="0.25">
      <c r="A3">
        <v>2</v>
      </c>
      <c r="B3" t="s">
        <v>20</v>
      </c>
      <c r="C3" t="s">
        <v>162</v>
      </c>
      <c r="D3" t="s">
        <v>166</v>
      </c>
      <c r="E3" t="s">
        <v>167</v>
      </c>
      <c r="F3" t="s">
        <v>165</v>
      </c>
      <c r="U3">
        <f>IF(ISNUMBER(SEARCH($D$969,$V$2:$V$500)),MAX($U$1:U2)+1,0)</f>
        <v>2</v>
      </c>
      <c r="V3" t="s">
        <v>20</v>
      </c>
      <c r="W3" t="str">
        <f>IFERROR(VLOOKUP(ROWS($W$2:W3),$U$2:$V$500,2,0),"")</f>
        <v>AcctRecon_SubmitJob</v>
      </c>
      <c r="Z3" t="s">
        <v>585</v>
      </c>
    </row>
    <row r="4" spans="1:26" x14ac:dyDescent="0.25">
      <c r="A4">
        <v>3</v>
      </c>
      <c r="B4" t="s">
        <v>23</v>
      </c>
      <c r="C4" t="s">
        <v>168</v>
      </c>
      <c r="U4">
        <f>IF(ISNUMBER(SEARCH($D$969,$V$2:$V$500)),MAX($U$1:U3)+1,0)</f>
        <v>3</v>
      </c>
      <c r="V4" t="s">
        <v>23</v>
      </c>
      <c r="W4" t="str">
        <f>IFERROR(VLOOKUP(ROWS($W$2:W4),$U$2:$V$500,2,0),"")</f>
        <v>ALM_Wait</v>
      </c>
      <c r="Z4" t="s">
        <v>586</v>
      </c>
    </row>
    <row r="5" spans="1:26" x14ac:dyDescent="0.25">
      <c r="A5">
        <v>4</v>
      </c>
      <c r="B5" t="s">
        <v>24</v>
      </c>
      <c r="C5" t="s">
        <v>169</v>
      </c>
      <c r="D5" t="s">
        <v>170</v>
      </c>
      <c r="E5" t="s">
        <v>171</v>
      </c>
      <c r="U5">
        <f>IF(ISNUMBER(SEARCH($D$969,$V$2:$V$500)),MAX($U$1:U4)+1,0)</f>
        <v>4</v>
      </c>
      <c r="V5" t="s">
        <v>24</v>
      </c>
      <c r="W5" t="str">
        <f>IFERROR(VLOOKUP(ROWS($W$2:W5),$U$2:$V$500,2,0),"")</f>
        <v>AvivaEnterText</v>
      </c>
      <c r="Z5" t="s">
        <v>587</v>
      </c>
    </row>
    <row r="6" spans="1:26" x14ac:dyDescent="0.25">
      <c r="A6">
        <v>6</v>
      </c>
      <c r="B6" t="s">
        <v>25</v>
      </c>
      <c r="C6" t="s">
        <v>172</v>
      </c>
      <c r="U6">
        <f>IF(ISNUMBER(SEARCH($D$969,$V$2:$V$500)),MAX($U$1:U5)+1,0)</f>
        <v>5</v>
      </c>
      <c r="V6" t="s">
        <v>25</v>
      </c>
      <c r="W6" t="str">
        <f>IFERROR(VLOOKUP(ROWS($W$2:W6),$U$2:$V$500,2,0),"")</f>
        <v>AvivaLogin</v>
      </c>
      <c r="Z6" t="s">
        <v>588</v>
      </c>
    </row>
    <row r="7" spans="1:26" x14ac:dyDescent="0.25">
      <c r="A7">
        <v>7</v>
      </c>
      <c r="B7" t="s">
        <v>26</v>
      </c>
      <c r="U7">
        <f>IF(ISNUMBER(SEARCH($D$969,$V$2:$V$500)),MAX($U$1:U6)+1,0)</f>
        <v>6</v>
      </c>
      <c r="V7" t="s">
        <v>26</v>
      </c>
      <c r="W7" t="str">
        <f>IFERROR(VLOOKUP(ROWS($W$2:W7),$U$2:$V$500,2,0),"")</f>
        <v>AvivaScreenShot</v>
      </c>
      <c r="Z7" t="s">
        <v>589</v>
      </c>
    </row>
    <row r="8" spans="1:26" x14ac:dyDescent="0.25">
      <c r="A8">
        <v>8</v>
      </c>
      <c r="B8" t="s">
        <v>27</v>
      </c>
      <c r="C8" t="s">
        <v>173</v>
      </c>
      <c r="D8" t="s">
        <v>171</v>
      </c>
      <c r="U8">
        <f>IF(ISNUMBER(SEARCH($D$969,$V$2:$V$500)),MAX($U$1:U7)+1,0)</f>
        <v>7</v>
      </c>
      <c r="V8" t="s">
        <v>27</v>
      </c>
      <c r="W8" t="str">
        <f>IFERROR(VLOOKUP(ROWS($W$2:W8),$U$2:$V$500,2,0),"")</f>
        <v>AvivaSearchScreen</v>
      </c>
      <c r="Z8" t="s">
        <v>590</v>
      </c>
    </row>
    <row r="9" spans="1:26" x14ac:dyDescent="0.25">
      <c r="A9">
        <v>9</v>
      </c>
      <c r="B9" t="s">
        <v>28</v>
      </c>
      <c r="C9" t="s">
        <v>173</v>
      </c>
      <c r="D9" t="s">
        <v>171</v>
      </c>
      <c r="U9">
        <f>IF(ISNUMBER(SEARCH($D$969,$V$2:$V$500)),MAX($U$1:U8)+1,0)</f>
        <v>8</v>
      </c>
      <c r="V9" t="s">
        <v>28</v>
      </c>
      <c r="W9" t="str">
        <f>IFERROR(VLOOKUP(ROWS($W$2:W9),$U$2:$V$500,2,0),"")</f>
        <v>AvivaSearchText</v>
      </c>
      <c r="Z9" t="s">
        <v>591</v>
      </c>
    </row>
    <row r="10" spans="1:26" x14ac:dyDescent="0.25">
      <c r="A10">
        <v>10</v>
      </c>
      <c r="B10" t="s">
        <v>559</v>
      </c>
      <c r="C10" t="s">
        <v>174</v>
      </c>
      <c r="D10" t="s">
        <v>171</v>
      </c>
      <c r="U10">
        <f>IF(ISNUMBER(SEARCH($D$969,$V$2:$V$500)),MAX($U$1:U9)+1,0)</f>
        <v>9</v>
      </c>
      <c r="V10" t="s">
        <v>559</v>
      </c>
      <c r="W10" t="str">
        <f>IFERROR(VLOOKUP(ROWS($W$2:W10),$U$2:$V$500,2,0),"")</f>
        <v>AvivaSendKEY</v>
      </c>
      <c r="Z10" t="s">
        <v>86</v>
      </c>
    </row>
    <row r="11" spans="1:26" x14ac:dyDescent="0.25">
      <c r="A11">
        <v>11</v>
      </c>
      <c r="B11" t="s">
        <v>29</v>
      </c>
      <c r="C11" t="s">
        <v>175</v>
      </c>
      <c r="D11" t="s">
        <v>171</v>
      </c>
      <c r="U11">
        <f>IF(ISNUMBER(SEARCH($D$969,$V$2:$V$500)),MAX($U$1:U10)+1,0)</f>
        <v>10</v>
      </c>
      <c r="V11" t="s">
        <v>29</v>
      </c>
      <c r="W11" t="str">
        <f>IFERROR(VLOOKUP(ROWS($W$2:W11),$U$2:$V$500,2,0),"")</f>
        <v>AvivaSetCursor</v>
      </c>
      <c r="Z11" t="s">
        <v>592</v>
      </c>
    </row>
    <row r="12" spans="1:26" x14ac:dyDescent="0.25">
      <c r="A12">
        <v>12</v>
      </c>
      <c r="B12" t="s">
        <v>30</v>
      </c>
      <c r="U12">
        <f>IF(ISNUMBER(SEARCH($D$969,$V$2:$V$500)),MAX($U$1:U11)+1,0)</f>
        <v>11</v>
      </c>
      <c r="V12" t="s">
        <v>30</v>
      </c>
      <c r="W12" t="str">
        <f>IFERROR(VLOOKUP(ROWS($W$2:W12),$U$2:$V$500,2,0),"")</f>
        <v>AvivaSync</v>
      </c>
      <c r="Z12" t="s">
        <v>85</v>
      </c>
    </row>
    <row r="13" spans="1:26" x14ac:dyDescent="0.25">
      <c r="A13">
        <v>13</v>
      </c>
      <c r="B13" t="s">
        <v>102</v>
      </c>
      <c r="C13" t="s">
        <v>210</v>
      </c>
      <c r="D13" t="s">
        <v>211</v>
      </c>
      <c r="E13" t="s">
        <v>212</v>
      </c>
      <c r="U13">
        <f>IF(ISNUMBER(SEARCH($D$969,$V$2:$V$500)),MAX($U$1:U12)+1,0)</f>
        <v>12</v>
      </c>
      <c r="V13" t="s">
        <v>102</v>
      </c>
      <c r="W13" t="str">
        <f>IFERROR(VLOOKUP(ROWS($W$2:W13),$U$2:$V$500,2,0),"")</f>
        <v>BVA_ORM_CheckForDuplicateInterchange</v>
      </c>
      <c r="Z13" t="s">
        <v>88</v>
      </c>
    </row>
    <row r="14" spans="1:26" x14ac:dyDescent="0.25">
      <c r="A14">
        <v>14</v>
      </c>
      <c r="B14" t="s">
        <v>99</v>
      </c>
      <c r="C14" t="s">
        <v>12</v>
      </c>
      <c r="D14" t="s">
        <v>199</v>
      </c>
      <c r="E14" t="s">
        <v>197</v>
      </c>
      <c r="F14" t="s">
        <v>200</v>
      </c>
      <c r="G14" t="s">
        <v>201</v>
      </c>
      <c r="H14" t="s">
        <v>202</v>
      </c>
      <c r="I14" t="s">
        <v>182</v>
      </c>
      <c r="J14" t="s">
        <v>192</v>
      </c>
      <c r="K14" t="s">
        <v>16</v>
      </c>
      <c r="L14" t="s">
        <v>9</v>
      </c>
      <c r="U14">
        <f>IF(ISNUMBER(SEARCH($D$969,$V$2:$V$500)),MAX($U$1:U13)+1,0)</f>
        <v>13</v>
      </c>
      <c r="V14" t="s">
        <v>99</v>
      </c>
      <c r="W14" t="str">
        <f>IFERROR(VLOOKUP(ROWS($W$2:W14),$U$2:$V$500,2,0),"")</f>
        <v>BVA_ORM_CheckInstructionStatusInHistory</v>
      </c>
      <c r="Z14" t="s">
        <v>89</v>
      </c>
    </row>
    <row r="15" spans="1:26" x14ac:dyDescent="0.25">
      <c r="A15">
        <v>15</v>
      </c>
      <c r="B15" t="s">
        <v>97</v>
      </c>
      <c r="C15" t="s">
        <v>12</v>
      </c>
      <c r="D15" t="s">
        <v>187</v>
      </c>
      <c r="E15" t="s">
        <v>16</v>
      </c>
      <c r="F15" t="s">
        <v>188</v>
      </c>
      <c r="G15" t="s">
        <v>189</v>
      </c>
      <c r="H15" t="s">
        <v>190</v>
      </c>
      <c r="I15" t="s">
        <v>191</v>
      </c>
      <c r="J15" t="s">
        <v>192</v>
      </c>
      <c r="K15" t="s">
        <v>9</v>
      </c>
      <c r="U15">
        <f>IF(ISNUMBER(SEARCH($D$969,$V$2:$V$500)),MAX($U$1:U14)+1,0)</f>
        <v>14</v>
      </c>
      <c r="V15" t="s">
        <v>97</v>
      </c>
      <c r="W15" t="str">
        <f>IFERROR(VLOOKUP(ROWS($W$2:W15),$U$2:$V$500,2,0),"")</f>
        <v>BVA_ORM_CheckInterchangeStatusInHistory</v>
      </c>
      <c r="Z15" t="s">
        <v>90</v>
      </c>
    </row>
    <row r="16" spans="1:26" x14ac:dyDescent="0.25">
      <c r="A16">
        <v>16</v>
      </c>
      <c r="B16" t="s">
        <v>31</v>
      </c>
      <c r="C16" t="s">
        <v>12</v>
      </c>
      <c r="D16" t="s">
        <v>176</v>
      </c>
      <c r="E16" t="s">
        <v>177</v>
      </c>
      <c r="F16" t="s">
        <v>178</v>
      </c>
      <c r="G16" t="s">
        <v>179</v>
      </c>
      <c r="H16" t="s">
        <v>180</v>
      </c>
      <c r="I16" t="s">
        <v>181</v>
      </c>
      <c r="J16" t="s">
        <v>182</v>
      </c>
      <c r="K16" t="s">
        <v>183</v>
      </c>
      <c r="L16" t="s">
        <v>184</v>
      </c>
      <c r="M16" t="s">
        <v>9</v>
      </c>
      <c r="N16" t="s">
        <v>16</v>
      </c>
      <c r="O16" t="s">
        <v>185</v>
      </c>
      <c r="U16">
        <f>IF(ISNUMBER(SEARCH($D$969,$V$2:$V$500)),MAX($U$1:U15)+1,0)</f>
        <v>15</v>
      </c>
      <c r="V16" t="s">
        <v>31</v>
      </c>
      <c r="W16" t="str">
        <f>IFERROR(VLOOKUP(ROWS($W$2:W16),$U$2:$V$500,2,0),"")</f>
        <v>BVA_ORM_CheckTransactionStatusInHistory</v>
      </c>
      <c r="Z16" t="s">
        <v>91</v>
      </c>
    </row>
    <row r="17" spans="1:26" x14ac:dyDescent="0.25">
      <c r="A17">
        <v>17</v>
      </c>
      <c r="B17" t="s">
        <v>32</v>
      </c>
      <c r="C17" t="s">
        <v>186</v>
      </c>
      <c r="U17">
        <f>IF(ISNUMBER(SEARCH($D$969,$V$2:$V$500)),MAX($U$1:U16)+1,0)</f>
        <v>16</v>
      </c>
      <c r="V17" t="s">
        <v>32</v>
      </c>
      <c r="W17" t="str">
        <f>IFERROR(VLOOKUP(ROWS($W$2:W17),$U$2:$V$500,2,0),"")</f>
        <v>BVA_ORM_Fetch_Latest_Linked_Transaction</v>
      </c>
      <c r="Z17" t="s">
        <v>92</v>
      </c>
    </row>
    <row r="18" spans="1:26" x14ac:dyDescent="0.25">
      <c r="A18">
        <v>18</v>
      </c>
      <c r="B18" t="s">
        <v>101</v>
      </c>
      <c r="C18" t="s">
        <v>208</v>
      </c>
      <c r="D18" t="s">
        <v>209</v>
      </c>
      <c r="U18">
        <f>IF(ISNUMBER(SEARCH($D$969,$V$2:$V$500)),MAX($U$1:U17)+1,0)</f>
        <v>17</v>
      </c>
      <c r="V18" t="s">
        <v>101</v>
      </c>
      <c r="W18" t="str">
        <f>IFERROR(VLOOKUP(ROWS($W$2:W18),$U$2:$V$500,2,0),"")</f>
        <v>BVA_ORM_FetchValueFromSearchedResults</v>
      </c>
      <c r="Z18" t="s">
        <v>2</v>
      </c>
    </row>
    <row r="19" spans="1:26" x14ac:dyDescent="0.25">
      <c r="A19">
        <v>19</v>
      </c>
      <c r="B19" t="s">
        <v>33</v>
      </c>
      <c r="C19" t="s">
        <v>197</v>
      </c>
      <c r="D19" t="s">
        <v>198</v>
      </c>
      <c r="U19">
        <f>IF(ISNUMBER(SEARCH($D$969,$V$2:$V$500)),MAX($U$1:U18)+1,0)</f>
        <v>18</v>
      </c>
      <c r="V19" t="s">
        <v>33</v>
      </c>
      <c r="W19" t="str">
        <f>IFERROR(VLOOKUP(ROWS($W$2:W19),$U$2:$V$500,2,0),"")</f>
        <v>BVA_ORM_InstructionList_InterChange</v>
      </c>
      <c r="Z19" t="s">
        <v>593</v>
      </c>
    </row>
    <row r="20" spans="1:26" x14ac:dyDescent="0.25">
      <c r="A20">
        <v>20</v>
      </c>
      <c r="B20" t="s">
        <v>560</v>
      </c>
      <c r="U20">
        <f>IF(ISNUMBER(SEARCH($D$969,$V$2:$V$500)),MAX($U$1:U19)+1,0)</f>
        <v>19</v>
      </c>
      <c r="V20" t="s">
        <v>560</v>
      </c>
      <c r="W20" t="str">
        <f>IFERROR(VLOOKUP(ROWS($W$2:W20),$U$2:$V$500,2,0),"")</f>
        <v>BVA_ORM_SEARCHDIRECTORYLOCATION</v>
      </c>
      <c r="Z20" t="s">
        <v>93</v>
      </c>
    </row>
    <row r="21" spans="1:26" x14ac:dyDescent="0.25">
      <c r="A21">
        <v>21</v>
      </c>
      <c r="B21" t="s">
        <v>7</v>
      </c>
      <c r="C21" t="s">
        <v>12</v>
      </c>
      <c r="D21" t="s">
        <v>199</v>
      </c>
      <c r="E21" t="s">
        <v>197</v>
      </c>
      <c r="F21" t="s">
        <v>200</v>
      </c>
      <c r="G21" t="s">
        <v>201</v>
      </c>
      <c r="H21" t="s">
        <v>202</v>
      </c>
      <c r="I21" t="s">
        <v>182</v>
      </c>
      <c r="J21" t="s">
        <v>192</v>
      </c>
      <c r="K21" t="s">
        <v>16</v>
      </c>
      <c r="L21" t="s">
        <v>9</v>
      </c>
      <c r="M21" t="s">
        <v>193</v>
      </c>
      <c r="N21" t="s">
        <v>194</v>
      </c>
      <c r="O21" t="s">
        <v>195</v>
      </c>
      <c r="P21" t="s">
        <v>196</v>
      </c>
      <c r="Q21" t="s">
        <v>203</v>
      </c>
      <c r="R21" t="s">
        <v>203</v>
      </c>
      <c r="U21">
        <f>IF(ISNUMBER(SEARCH($D$969,$V$2:$V$500)),MAX($U$1:U20)+1,0)</f>
        <v>20</v>
      </c>
      <c r="V21" t="s">
        <v>7</v>
      </c>
      <c r="W21" t="str">
        <f>IFERROR(VLOOKUP(ROWS($W$2:W21),$U$2:$V$500,2,0),"")</f>
        <v>BVA_ORM_SearchInstructionAndVerifyRow</v>
      </c>
      <c r="Z21" t="s">
        <v>87</v>
      </c>
    </row>
    <row r="22" spans="1:26" x14ac:dyDescent="0.25">
      <c r="A22">
        <v>22</v>
      </c>
      <c r="B22" t="s">
        <v>96</v>
      </c>
      <c r="C22" t="s">
        <v>12</v>
      </c>
      <c r="D22" t="s">
        <v>187</v>
      </c>
      <c r="E22" t="s">
        <v>16</v>
      </c>
      <c r="F22" t="s">
        <v>188</v>
      </c>
      <c r="G22" t="s">
        <v>189</v>
      </c>
      <c r="H22" t="s">
        <v>190</v>
      </c>
      <c r="I22" t="s">
        <v>191</v>
      </c>
      <c r="J22" t="s">
        <v>192</v>
      </c>
      <c r="K22" t="s">
        <v>9</v>
      </c>
      <c r="L22" t="s">
        <v>193</v>
      </c>
      <c r="M22" t="s">
        <v>194</v>
      </c>
      <c r="N22" t="s">
        <v>195</v>
      </c>
      <c r="O22" t="s">
        <v>196</v>
      </c>
      <c r="U22">
        <f>IF(ISNUMBER(SEARCH($D$969,$V$2:$V$500)),MAX($U$1:U21)+1,0)</f>
        <v>21</v>
      </c>
      <c r="V22" t="s">
        <v>96</v>
      </c>
      <c r="W22" t="str">
        <f>IFERROR(VLOOKUP(ROWS($W$2:W22),$U$2:$V$500,2,0),"")</f>
        <v>BVA_ORM_SearchInterchangeAndVerifyRow</v>
      </c>
      <c r="Z22" t="s">
        <v>594</v>
      </c>
    </row>
    <row r="23" spans="1:26" x14ac:dyDescent="0.25">
      <c r="A23">
        <v>23</v>
      </c>
      <c r="B23" t="s">
        <v>98</v>
      </c>
      <c r="C23" t="s">
        <v>12</v>
      </c>
      <c r="D23" t="s">
        <v>176</v>
      </c>
      <c r="E23" t="s">
        <v>177</v>
      </c>
      <c r="F23" t="s">
        <v>178</v>
      </c>
      <c r="G23" t="s">
        <v>179</v>
      </c>
      <c r="H23" t="s">
        <v>180</v>
      </c>
      <c r="I23" t="s">
        <v>181</v>
      </c>
      <c r="J23" t="s">
        <v>182</v>
      </c>
      <c r="K23" t="s">
        <v>183</v>
      </c>
      <c r="L23" t="s">
        <v>184</v>
      </c>
      <c r="M23" t="s">
        <v>9</v>
      </c>
      <c r="N23" t="s">
        <v>16</v>
      </c>
      <c r="O23" t="s">
        <v>185</v>
      </c>
      <c r="P23" t="s">
        <v>193</v>
      </c>
      <c r="Q23" t="s">
        <v>194</v>
      </c>
      <c r="R23" t="s">
        <v>195</v>
      </c>
      <c r="S23" t="s">
        <v>196</v>
      </c>
      <c r="T23" t="s">
        <v>204</v>
      </c>
      <c r="U23">
        <f>IF(ISNUMBER(SEARCH($D$969,$V$2:$V$500)),MAX($U$1:U22)+1,0)</f>
        <v>22</v>
      </c>
      <c r="V23" t="s">
        <v>98</v>
      </c>
      <c r="W23" t="str">
        <f>IFERROR(VLOOKUP(ROWS($W$2:W23),$U$2:$V$500,2,0),"")</f>
        <v>BVA_ORM_SearchTransactionAndVerifyRow</v>
      </c>
      <c r="Z23" t="s">
        <v>595</v>
      </c>
    </row>
    <row r="24" spans="1:26" x14ac:dyDescent="0.25">
      <c r="A24">
        <v>24</v>
      </c>
      <c r="B24" t="s">
        <v>34</v>
      </c>
      <c r="C24" t="s">
        <v>197</v>
      </c>
      <c r="D24" t="s">
        <v>205</v>
      </c>
      <c r="E24" t="s">
        <v>206</v>
      </c>
      <c r="F24" t="s">
        <v>207</v>
      </c>
      <c r="U24">
        <f>IF(ISNUMBER(SEARCH($D$969,$V$2:$V$500)),MAX($U$1:U23)+1,0)</f>
        <v>23</v>
      </c>
      <c r="V24" t="s">
        <v>34</v>
      </c>
      <c r="W24" t="str">
        <f>IFERROR(VLOOKUP(ROWS($W$2:W24),$U$2:$V$500,2,0),"")</f>
        <v>BVA_ORM_TransactionDetails_Instruction_InterChange</v>
      </c>
      <c r="Z24" t="s">
        <v>596</v>
      </c>
    </row>
    <row r="25" spans="1:26" x14ac:dyDescent="0.25">
      <c r="A25">
        <v>25</v>
      </c>
      <c r="B25" t="s">
        <v>35</v>
      </c>
      <c r="C25" t="s">
        <v>215</v>
      </c>
      <c r="U25">
        <f>IF(ISNUMBER(SEARCH($D$969,$V$2:$V$500)),MAX($U$1:U24)+1,0)</f>
        <v>24</v>
      </c>
      <c r="V25" t="s">
        <v>35</v>
      </c>
      <c r="W25" t="str">
        <f>IFERROR(VLOOKUP(ROWS($W$2:W25),$U$2:$V$500,2,0),"")</f>
        <v>BVA_ORM_VerifyOutgoingMsgTypeLinkedTrans_XMLDownload</v>
      </c>
      <c r="Z25" t="s">
        <v>597</v>
      </c>
    </row>
    <row r="26" spans="1:26" x14ac:dyDescent="0.25">
      <c r="A26">
        <v>26</v>
      </c>
      <c r="B26" t="s">
        <v>100</v>
      </c>
      <c r="C26" t="s">
        <v>208</v>
      </c>
      <c r="D26" t="s">
        <v>209</v>
      </c>
      <c r="U26">
        <f>IF(ISNUMBER(SEARCH($D$969,$V$2:$V$500)),MAX($U$1:U25)+1,0)</f>
        <v>25</v>
      </c>
      <c r="V26" t="s">
        <v>100</v>
      </c>
      <c r="W26" t="str">
        <f>IFERROR(VLOOKUP(ROWS($W$2:W26),$U$2:$V$500,2,0),"")</f>
        <v>BVA_ORM_VerifySingleValueInHistory_Existance</v>
      </c>
      <c r="Z26" t="s">
        <v>555</v>
      </c>
    </row>
    <row r="27" spans="1:26" x14ac:dyDescent="0.25">
      <c r="A27">
        <v>27</v>
      </c>
      <c r="B27" t="s">
        <v>36</v>
      </c>
      <c r="C27" t="s">
        <v>208</v>
      </c>
      <c r="D27" t="s">
        <v>209</v>
      </c>
      <c r="U27">
        <f>IF(ISNUMBER(SEARCH($D$969,$V$2:$V$500)),MAX($U$1:U26)+1,0)</f>
        <v>26</v>
      </c>
      <c r="V27" t="s">
        <v>36</v>
      </c>
      <c r="W27" t="str">
        <f>IFERROR(VLOOKUP(ROWS($W$2:W27),$U$2:$V$500,2,0),"")</f>
        <v>BVA_ORM_VerifySingleValueInHistory_NonExistance</v>
      </c>
    </row>
    <row r="28" spans="1:26" x14ac:dyDescent="0.25">
      <c r="A28">
        <v>28</v>
      </c>
      <c r="B28" t="s">
        <v>37</v>
      </c>
      <c r="C28" t="s">
        <v>12</v>
      </c>
      <c r="D28" t="s">
        <v>13</v>
      </c>
      <c r="E28" t="s">
        <v>14</v>
      </c>
      <c r="F28" t="s">
        <v>15</v>
      </c>
      <c r="G28" t="s">
        <v>11</v>
      </c>
      <c r="U28">
        <f>IF(ISNUMBER(SEARCH($D$969,$V$2:$V$500)),MAX($U$1:U27)+1,0)</f>
        <v>27</v>
      </c>
      <c r="V28" t="s">
        <v>37</v>
      </c>
      <c r="W28" t="str">
        <f>IFERROR(VLOOKUP(ROWS($W$2:W28),$U$2:$V$500,2,0),"")</f>
        <v>BVA_PEX_BlacklistAccount_Add</v>
      </c>
    </row>
    <row r="29" spans="1:26" x14ac:dyDescent="0.25">
      <c r="A29">
        <v>29</v>
      </c>
      <c r="B29" t="s">
        <v>38</v>
      </c>
      <c r="C29" t="s">
        <v>216</v>
      </c>
      <c r="D29" t="s">
        <v>217</v>
      </c>
      <c r="E29" t="s">
        <v>218</v>
      </c>
      <c r="U29">
        <f>IF(ISNUMBER(SEARCH($D$969,$V$2:$V$500)),MAX($U$1:U28)+1,0)</f>
        <v>28</v>
      </c>
      <c r="V29" t="s">
        <v>38</v>
      </c>
      <c r="W29" t="str">
        <f>IFERROR(VLOOKUP(ROWS($W$2:W29),$U$2:$V$500,2,0),"")</f>
        <v>BVA_PEX_BlacklistAccount_Endorse</v>
      </c>
    </row>
    <row r="30" spans="1:26" x14ac:dyDescent="0.25">
      <c r="A30">
        <v>30</v>
      </c>
      <c r="B30" t="s">
        <v>39</v>
      </c>
      <c r="C30" t="s">
        <v>216</v>
      </c>
      <c r="D30" t="s">
        <v>217</v>
      </c>
      <c r="E30" t="s">
        <v>218</v>
      </c>
      <c r="U30">
        <f>IF(ISNUMBER(SEARCH($D$969,$V$2:$V$500)),MAX($U$1:U29)+1,0)</f>
        <v>29</v>
      </c>
      <c r="V30" t="s">
        <v>39</v>
      </c>
      <c r="W30" t="str">
        <f>IFERROR(VLOOKUP(ROWS($W$2:W30),$U$2:$V$500,2,0),"")</f>
        <v>BVA_PEX_BlacklistAccount_Remove</v>
      </c>
    </row>
    <row r="31" spans="1:26" x14ac:dyDescent="0.25">
      <c r="A31">
        <v>31</v>
      </c>
      <c r="B31" t="s">
        <v>40</v>
      </c>
      <c r="C31" t="s">
        <v>12</v>
      </c>
      <c r="D31" t="s">
        <v>199</v>
      </c>
      <c r="E31" t="s">
        <v>197</v>
      </c>
      <c r="F31" t="s">
        <v>200</v>
      </c>
      <c r="G31" t="s">
        <v>201</v>
      </c>
      <c r="H31" t="s">
        <v>202</v>
      </c>
      <c r="I31" t="s">
        <v>182</v>
      </c>
      <c r="J31" t="s">
        <v>192</v>
      </c>
      <c r="K31" t="s">
        <v>16</v>
      </c>
      <c r="L31" t="s">
        <v>9</v>
      </c>
      <c r="U31">
        <f>IF(ISNUMBER(SEARCH($D$969,$V$2:$V$500)),MAX($U$1:U30)+1,0)</f>
        <v>30</v>
      </c>
      <c r="V31" t="s">
        <v>40</v>
      </c>
      <c r="W31" t="str">
        <f>IFERROR(VLOOKUP(ROWS($W$2:W31),$U$2:$V$500,2,0),"")</f>
        <v>BVA_PEX_CheckInstructionStatusInHistory</v>
      </c>
    </row>
    <row r="32" spans="1:26" x14ac:dyDescent="0.25">
      <c r="A32">
        <v>32</v>
      </c>
      <c r="B32" t="s">
        <v>41</v>
      </c>
      <c r="C32" t="s">
        <v>12</v>
      </c>
      <c r="D32" t="s">
        <v>176</v>
      </c>
      <c r="E32" t="s">
        <v>177</v>
      </c>
      <c r="F32" t="s">
        <v>178</v>
      </c>
      <c r="G32" t="s">
        <v>179</v>
      </c>
      <c r="H32" t="s">
        <v>180</v>
      </c>
      <c r="I32" t="s">
        <v>181</v>
      </c>
      <c r="J32" t="s">
        <v>182</v>
      </c>
      <c r="K32" t="s">
        <v>183</v>
      </c>
      <c r="L32" t="s">
        <v>184</v>
      </c>
      <c r="M32" t="s">
        <v>9</v>
      </c>
      <c r="N32" t="s">
        <v>16</v>
      </c>
      <c r="O32" t="s">
        <v>185</v>
      </c>
      <c r="U32">
        <f>IF(ISNUMBER(SEARCH($D$969,$V$2:$V$500)),MAX($U$1:U31)+1,0)</f>
        <v>31</v>
      </c>
      <c r="V32" t="s">
        <v>41</v>
      </c>
      <c r="W32" t="str">
        <f>IFERROR(VLOOKUP(ROWS($W$2:W32),$U$2:$V$500,2,0),"")</f>
        <v>BVA_PEX_CheckTransactionStatusInHistory</v>
      </c>
    </row>
    <row r="33" spans="1:23" x14ac:dyDescent="0.25">
      <c r="A33">
        <v>33</v>
      </c>
      <c r="B33" t="s">
        <v>42</v>
      </c>
      <c r="C33" t="s">
        <v>219</v>
      </c>
      <c r="D33" t="s">
        <v>220</v>
      </c>
      <c r="U33">
        <f>IF(ISNUMBER(SEARCH($D$969,$V$2:$V$500)),MAX($U$1:U32)+1,0)</f>
        <v>32</v>
      </c>
      <c r="V33" t="s">
        <v>42</v>
      </c>
      <c r="W33" t="str">
        <f>IFERROR(VLOOKUP(ROWS($W$2:W33),$U$2:$V$500,2,0),"")</f>
        <v>BVA_PEX_Chrome_ApproveCamt56UsingTransactionId</v>
      </c>
    </row>
    <row r="34" spans="1:23" x14ac:dyDescent="0.25">
      <c r="A34">
        <v>34</v>
      </c>
      <c r="B34" t="s">
        <v>43</v>
      </c>
      <c r="C34" t="s">
        <v>221</v>
      </c>
      <c r="D34" t="s">
        <v>222</v>
      </c>
      <c r="E34" t="s">
        <v>223</v>
      </c>
      <c r="F34" t="s">
        <v>224</v>
      </c>
      <c r="U34">
        <f>IF(ISNUMBER(SEARCH($D$969,$V$2:$V$500)),MAX($U$1:U33)+1,0)</f>
        <v>33</v>
      </c>
      <c r="V34" t="s">
        <v>43</v>
      </c>
      <c r="W34" t="str">
        <f>IFERROR(VLOOKUP(ROWS($W$2:W34),$U$2:$V$500,2,0),"")</f>
        <v>BVA_PEX_CREAT_Mandate_VerifyDetails</v>
      </c>
    </row>
    <row r="35" spans="1:23" x14ac:dyDescent="0.25">
      <c r="A35">
        <v>35</v>
      </c>
      <c r="B35" t="s">
        <v>44</v>
      </c>
      <c r="C35" t="s">
        <v>225</v>
      </c>
      <c r="D35" t="s">
        <v>226</v>
      </c>
      <c r="E35" t="s">
        <v>227</v>
      </c>
      <c r="F35" t="s">
        <v>228</v>
      </c>
      <c r="G35" t="s">
        <v>222</v>
      </c>
      <c r="H35" t="s">
        <v>229</v>
      </c>
      <c r="I35" t="s">
        <v>230</v>
      </c>
      <c r="J35" t="s">
        <v>231</v>
      </c>
      <c r="K35" t="s">
        <v>232</v>
      </c>
      <c r="L35" t="s">
        <v>233</v>
      </c>
      <c r="U35">
        <f>IF(ISNUMBER(SEARCH($D$969,$V$2:$V$500)),MAX($U$1:U34)+1,0)</f>
        <v>34</v>
      </c>
      <c r="V35" t="s">
        <v>44</v>
      </c>
      <c r="W35" t="str">
        <f>IFERROR(VLOOKUP(ROWS($W$2:W35),$U$2:$V$500,2,0),"")</f>
        <v>BVA_PEX_CREAT_STP_VerifyDetails</v>
      </c>
    </row>
    <row r="36" spans="1:23" x14ac:dyDescent="0.25">
      <c r="A36">
        <v>36</v>
      </c>
      <c r="B36" t="s">
        <v>45</v>
      </c>
      <c r="C36" t="s">
        <v>234</v>
      </c>
      <c r="U36">
        <f>IF(ISNUMBER(SEARCH($D$969,$V$2:$V$500)),MAX($U$1:U35)+1,0)</f>
        <v>35</v>
      </c>
      <c r="V36" t="s">
        <v>45</v>
      </c>
      <c r="W36" t="str">
        <f>IFERROR(VLOOKUP(ROWS($W$2:W36),$U$2:$V$500,2,0),"")</f>
        <v>BVA_PEX_Error_SubmitTransactionAction</v>
      </c>
    </row>
    <row r="37" spans="1:23" x14ac:dyDescent="0.25">
      <c r="A37">
        <v>37</v>
      </c>
      <c r="B37" t="s">
        <v>105</v>
      </c>
      <c r="C37" t="s">
        <v>248</v>
      </c>
      <c r="U37">
        <f>IF(ISNUMBER(SEARCH($D$969,$V$2:$V$500)),MAX($U$1:U36)+1,0)</f>
        <v>36</v>
      </c>
      <c r="V37" t="s">
        <v>105</v>
      </c>
      <c r="W37" t="str">
        <f>IFERROR(VLOOKUP(ROWS($W$2:W37),$U$2:$V$500,2,0),"")</f>
        <v>BVA_PEX_FetchLatestLinkedTransaction</v>
      </c>
    </row>
    <row r="38" spans="1:23" x14ac:dyDescent="0.25">
      <c r="A38">
        <v>38</v>
      </c>
      <c r="B38" t="s">
        <v>46</v>
      </c>
      <c r="C38" t="s">
        <v>208</v>
      </c>
      <c r="D38" t="s">
        <v>235</v>
      </c>
      <c r="U38">
        <f>IF(ISNUMBER(SEARCH($D$969,$V$2:$V$500)),MAX($U$1:U37)+1,0)</f>
        <v>37</v>
      </c>
      <c r="V38" t="s">
        <v>46</v>
      </c>
      <c r="W38" t="str">
        <f>IFERROR(VLOOKUP(ROWS($W$2:W38),$U$2:$V$500,2,0),"")</f>
        <v>BVA_PEX_FetchValueFromSearchedResults</v>
      </c>
    </row>
    <row r="39" spans="1:23" x14ac:dyDescent="0.25">
      <c r="A39">
        <v>39</v>
      </c>
      <c r="B39" t="s">
        <v>47</v>
      </c>
      <c r="C39" t="s">
        <v>236</v>
      </c>
      <c r="D39" t="s">
        <v>237</v>
      </c>
      <c r="E39" t="s">
        <v>238</v>
      </c>
      <c r="F39" t="s">
        <v>239</v>
      </c>
      <c r="G39" t="s">
        <v>240</v>
      </c>
      <c r="H39" t="s">
        <v>241</v>
      </c>
      <c r="I39" t="s">
        <v>242</v>
      </c>
      <c r="J39" t="s">
        <v>243</v>
      </c>
      <c r="K39" t="s">
        <v>244</v>
      </c>
      <c r="U39">
        <f>IF(ISNUMBER(SEARCH($D$969,$V$2:$V$500)),MAX($U$1:U38)+1,0)</f>
        <v>38</v>
      </c>
      <c r="V39" t="s">
        <v>47</v>
      </c>
      <c r="W39" t="str">
        <f>IFERROR(VLOOKUP(ROWS($W$2:W39),$U$2:$V$500,2,0),"")</f>
        <v>BVA_PEX_GoPaymentOrders</v>
      </c>
    </row>
    <row r="40" spans="1:23" x14ac:dyDescent="0.25">
      <c r="A40">
        <v>40</v>
      </c>
      <c r="B40" t="s">
        <v>48</v>
      </c>
      <c r="C40" t="s">
        <v>251</v>
      </c>
      <c r="D40" t="s">
        <v>205</v>
      </c>
      <c r="E40" t="s">
        <v>252</v>
      </c>
      <c r="F40" t="s">
        <v>253</v>
      </c>
      <c r="U40">
        <f>IF(ISNUMBER(SEARCH($D$969,$V$2:$V$500)),MAX($U$1:U39)+1,0)</f>
        <v>39</v>
      </c>
      <c r="V40" t="s">
        <v>48</v>
      </c>
      <c r="W40" t="str">
        <f>IFERROR(VLOOKUP(ROWS($W$2:W40),$U$2:$V$500,2,0),"")</f>
        <v>BVA_PEX_Instructions_TransactionList</v>
      </c>
    </row>
    <row r="41" spans="1:23" x14ac:dyDescent="0.25">
      <c r="A41">
        <v>41</v>
      </c>
      <c r="B41" t="s">
        <v>49</v>
      </c>
      <c r="C41" t="s">
        <v>251</v>
      </c>
      <c r="D41" t="s">
        <v>205</v>
      </c>
      <c r="E41" t="s">
        <v>207</v>
      </c>
      <c r="U41">
        <f>IF(ISNUMBER(SEARCH($D$969,$V$2:$V$500)),MAX($U$1:U40)+1,0)</f>
        <v>40</v>
      </c>
      <c r="V41" t="s">
        <v>49</v>
      </c>
      <c r="W41" t="str">
        <f>IFERROR(VLOOKUP(ROWS($W$2:W41),$U$2:$V$500,2,0),"")</f>
        <v>BVA_PEX_Interchange_Instructions_Transaction</v>
      </c>
    </row>
    <row r="42" spans="1:23" x14ac:dyDescent="0.25">
      <c r="A42">
        <v>42</v>
      </c>
      <c r="B42" t="s">
        <v>50</v>
      </c>
      <c r="C42" t="s">
        <v>205</v>
      </c>
      <c r="D42" t="s">
        <v>207</v>
      </c>
      <c r="E42" t="s">
        <v>254</v>
      </c>
      <c r="U42">
        <f>IF(ISNUMBER(SEARCH($D$969,$V$2:$V$500)),MAX($U$1:U41)+1,0)</f>
        <v>41</v>
      </c>
      <c r="V42" t="s">
        <v>50</v>
      </c>
      <c r="W42" t="str">
        <f>IFERROR(VLOOKUP(ROWS($W$2:W42),$U$2:$V$500,2,0),"")</f>
        <v>BVA_PEX_Interchange_TransactionID</v>
      </c>
    </row>
    <row r="43" spans="1:23" x14ac:dyDescent="0.25">
      <c r="A43">
        <v>43</v>
      </c>
      <c r="B43" t="s">
        <v>104</v>
      </c>
      <c r="C43" t="s">
        <v>245</v>
      </c>
      <c r="D43" t="s">
        <v>246</v>
      </c>
      <c r="E43" t="s">
        <v>247</v>
      </c>
      <c r="U43">
        <f>IF(ISNUMBER(SEARCH($D$969,$V$2:$V$500)),MAX($U$1:U42)+1,0)</f>
        <v>42</v>
      </c>
      <c r="V43" t="s">
        <v>104</v>
      </c>
      <c r="W43" t="str">
        <f>IFERROR(VLOOKUP(ROWS($W$2:W43),$U$2:$V$500,2,0),"")</f>
        <v>BVA_PEX_NumberofTransactions_Instructions</v>
      </c>
    </row>
    <row r="44" spans="1:23" x14ac:dyDescent="0.25">
      <c r="A44">
        <v>44</v>
      </c>
      <c r="B44" t="s">
        <v>52</v>
      </c>
      <c r="C44" t="s">
        <v>256</v>
      </c>
      <c r="D44" t="s">
        <v>257</v>
      </c>
      <c r="U44">
        <f>IF(ISNUMBER(SEARCH($D$969,$V$2:$V$500)),MAX($U$1:U43)+1,0)</f>
        <v>43</v>
      </c>
      <c r="V44" t="s">
        <v>52</v>
      </c>
      <c r="W44" t="str">
        <f>IFERROR(VLOOKUP(ROWS($W$2:W44),$U$2:$V$500,2,0),"")</f>
        <v>BVA_PEX_RTRV_ACC_NO_SPO</v>
      </c>
    </row>
    <row r="45" spans="1:23" x14ac:dyDescent="0.25">
      <c r="A45">
        <v>45</v>
      </c>
      <c r="B45" t="s">
        <v>53</v>
      </c>
      <c r="C45" t="s">
        <v>258</v>
      </c>
      <c r="D45" t="s">
        <v>17</v>
      </c>
      <c r="E45" t="s">
        <v>259</v>
      </c>
      <c r="U45">
        <f>IF(ISNUMBER(SEARCH($D$969,$V$2:$V$500)),MAX($U$1:U44)+1,0)</f>
        <v>44</v>
      </c>
      <c r="V45" t="s">
        <v>53</v>
      </c>
      <c r="W45" t="str">
        <f>IFERROR(VLOOKUP(ROWS($W$2:W45),$U$2:$V$500,2,0),"")</f>
        <v>BVA_PEX_RTRV_CreditID_DebitAcct</v>
      </c>
    </row>
    <row r="46" spans="1:23" x14ac:dyDescent="0.25">
      <c r="A46">
        <v>46</v>
      </c>
      <c r="B46" t="s">
        <v>54</v>
      </c>
      <c r="C46" t="s">
        <v>256</v>
      </c>
      <c r="D46" t="s">
        <v>257</v>
      </c>
      <c r="E46" t="s">
        <v>260</v>
      </c>
      <c r="U46">
        <f>IF(ISNUMBER(SEARCH($D$969,$V$2:$V$500)),MAX($U$1:U45)+1,0)</f>
        <v>45</v>
      </c>
      <c r="V46" t="s">
        <v>54</v>
      </c>
      <c r="W46" t="str">
        <f>IFERROR(VLOOKUP(ROWS($W$2:W46),$U$2:$V$500,2,0),"")</f>
        <v>BVA_PEX_RTRV_MANDATE_DEBT_ACC</v>
      </c>
    </row>
    <row r="47" spans="1:23" x14ac:dyDescent="0.25">
      <c r="A47">
        <v>47</v>
      </c>
      <c r="B47" t="s">
        <v>55</v>
      </c>
      <c r="C47" t="s">
        <v>261</v>
      </c>
      <c r="D47" t="s">
        <v>262</v>
      </c>
      <c r="E47" t="s">
        <v>263</v>
      </c>
      <c r="U47">
        <f>IF(ISNUMBER(SEARCH($D$969,$V$2:$V$500)),MAX($U$1:U46)+1,0)</f>
        <v>46</v>
      </c>
      <c r="V47" t="s">
        <v>55</v>
      </c>
      <c r="W47" t="str">
        <f>IFERROR(VLOOKUP(ROWS($W$2:W47),$U$2:$V$500,2,0),"")</f>
        <v>BVA_PEX_RTRV_STOP_PYMT_DEBT_ACC</v>
      </c>
    </row>
    <row r="48" spans="1:23" x14ac:dyDescent="0.25">
      <c r="A48">
        <v>48</v>
      </c>
      <c r="B48" t="s">
        <v>56</v>
      </c>
      <c r="C48" t="s">
        <v>12</v>
      </c>
      <c r="D48" t="s">
        <v>199</v>
      </c>
      <c r="E48" t="s">
        <v>197</v>
      </c>
      <c r="F48" t="s">
        <v>200</v>
      </c>
      <c r="G48" t="s">
        <v>201</v>
      </c>
      <c r="H48" t="s">
        <v>202</v>
      </c>
      <c r="I48" t="s">
        <v>182</v>
      </c>
      <c r="J48" t="s">
        <v>192</v>
      </c>
      <c r="K48" t="s">
        <v>16</v>
      </c>
      <c r="L48" t="s">
        <v>9</v>
      </c>
      <c r="M48" t="s">
        <v>193</v>
      </c>
      <c r="N48" t="s">
        <v>194</v>
      </c>
      <c r="O48" t="s">
        <v>195</v>
      </c>
      <c r="P48" t="s">
        <v>196</v>
      </c>
      <c r="Q48" t="s">
        <v>203</v>
      </c>
      <c r="R48" t="s">
        <v>264</v>
      </c>
      <c r="U48">
        <f>IF(ISNUMBER(SEARCH($D$969,$V$2:$V$500)),MAX($U$1:U47)+1,0)</f>
        <v>47</v>
      </c>
      <c r="V48" t="s">
        <v>56</v>
      </c>
      <c r="W48" t="str">
        <f>IFERROR(VLOOKUP(ROWS($W$2:W48),$U$2:$V$500,2,0),"")</f>
        <v>BVA_PEX_SearchInstructionAndVerifyRow</v>
      </c>
    </row>
    <row r="49" spans="1:23" x14ac:dyDescent="0.25">
      <c r="A49">
        <v>49</v>
      </c>
      <c r="B49" t="s">
        <v>57</v>
      </c>
      <c r="C49" t="s">
        <v>12</v>
      </c>
      <c r="D49" t="s">
        <v>187</v>
      </c>
      <c r="E49" t="s">
        <v>16</v>
      </c>
      <c r="F49" t="s">
        <v>188</v>
      </c>
      <c r="G49" t="s">
        <v>189</v>
      </c>
      <c r="H49" t="s">
        <v>190</v>
      </c>
      <c r="I49" t="s">
        <v>191</v>
      </c>
      <c r="J49" t="s">
        <v>192</v>
      </c>
      <c r="K49" t="s">
        <v>9</v>
      </c>
      <c r="L49" t="s">
        <v>193</v>
      </c>
      <c r="M49" t="s">
        <v>194</v>
      </c>
      <c r="N49" t="s">
        <v>195</v>
      </c>
      <c r="O49" t="s">
        <v>196</v>
      </c>
      <c r="U49">
        <f>IF(ISNUMBER(SEARCH($D$969,$V$2:$V$500)),MAX($U$1:U48)+1,0)</f>
        <v>48</v>
      </c>
      <c r="V49" t="s">
        <v>57</v>
      </c>
      <c r="W49" t="str">
        <f>IFERROR(VLOOKUP(ROWS($W$2:W49),$U$2:$V$500,2,0),"")</f>
        <v>BVA_PEX_SearchInterchangeAndVerifyRow</v>
      </c>
    </row>
    <row r="50" spans="1:23" x14ac:dyDescent="0.25">
      <c r="A50">
        <v>50</v>
      </c>
      <c r="B50" t="s">
        <v>58</v>
      </c>
      <c r="C50" t="s">
        <v>256</v>
      </c>
      <c r="D50" t="s">
        <v>257</v>
      </c>
      <c r="E50" t="s">
        <v>265</v>
      </c>
      <c r="F50" t="s">
        <v>266</v>
      </c>
      <c r="G50" t="s">
        <v>267</v>
      </c>
      <c r="H50" t="s">
        <v>268</v>
      </c>
      <c r="U50">
        <f>IF(ISNUMBER(SEARCH($D$969,$V$2:$V$500)),MAX($U$1:U49)+1,0)</f>
        <v>49</v>
      </c>
      <c r="V50" t="s">
        <v>58</v>
      </c>
      <c r="W50" t="str">
        <f>IFERROR(VLOOKUP(ROWS($W$2:W50),$U$2:$V$500,2,0),"")</f>
        <v>BVA_PEX_SearchMandates</v>
      </c>
    </row>
    <row r="51" spans="1:23" x14ac:dyDescent="0.25">
      <c r="A51">
        <v>51</v>
      </c>
      <c r="B51" t="s">
        <v>59</v>
      </c>
      <c r="C51" t="s">
        <v>177</v>
      </c>
      <c r="D51" t="s">
        <v>269</v>
      </c>
      <c r="E51" t="s">
        <v>270</v>
      </c>
      <c r="F51" t="s">
        <v>271</v>
      </c>
      <c r="G51" t="s">
        <v>272</v>
      </c>
      <c r="U51">
        <f>IF(ISNUMBER(SEARCH($D$969,$V$2:$V$500)),MAX($U$1:U50)+1,0)</f>
        <v>50</v>
      </c>
      <c r="V51" t="s">
        <v>59</v>
      </c>
      <c r="W51" t="str">
        <f>IFERROR(VLOOKUP(ROWS($W$2:W51),$U$2:$V$500,2,0),"")</f>
        <v>BVA_PEX_SearchTransaction_Status</v>
      </c>
    </row>
    <row r="52" spans="1:23" x14ac:dyDescent="0.25">
      <c r="A52">
        <v>52</v>
      </c>
      <c r="B52" t="s">
        <v>60</v>
      </c>
      <c r="C52" t="s">
        <v>12</v>
      </c>
      <c r="D52" t="s">
        <v>176</v>
      </c>
      <c r="E52" t="s">
        <v>177</v>
      </c>
      <c r="F52" t="s">
        <v>178</v>
      </c>
      <c r="G52" t="s">
        <v>179</v>
      </c>
      <c r="H52" t="s">
        <v>180</v>
      </c>
      <c r="I52" t="s">
        <v>181</v>
      </c>
      <c r="J52" t="s">
        <v>182</v>
      </c>
      <c r="K52" t="s">
        <v>183</v>
      </c>
      <c r="L52" t="s">
        <v>184</v>
      </c>
      <c r="M52" t="s">
        <v>9</v>
      </c>
      <c r="N52" t="s">
        <v>16</v>
      </c>
      <c r="O52" t="s">
        <v>185</v>
      </c>
      <c r="P52" t="s">
        <v>193</v>
      </c>
      <c r="Q52" t="s">
        <v>194</v>
      </c>
      <c r="R52" t="s">
        <v>195</v>
      </c>
      <c r="S52" t="s">
        <v>196</v>
      </c>
      <c r="T52" t="s">
        <v>204</v>
      </c>
      <c r="U52">
        <f>IF(ISNUMBER(SEARCH($D$969,$V$2:$V$500)),MAX($U$1:U51)+1,0)</f>
        <v>51</v>
      </c>
      <c r="V52" t="s">
        <v>60</v>
      </c>
      <c r="W52" t="str">
        <f>IFERROR(VLOOKUP(ROWS($W$2:W52),$U$2:$V$500,2,0),"")</f>
        <v>BVA_PEX_SearchTransactionAndVerifyRow</v>
      </c>
    </row>
    <row r="53" spans="1:23" x14ac:dyDescent="0.25">
      <c r="A53">
        <v>53</v>
      </c>
      <c r="B53" t="s">
        <v>61</v>
      </c>
      <c r="C53" t="s">
        <v>236</v>
      </c>
      <c r="D53" t="s">
        <v>273</v>
      </c>
      <c r="E53" t="s">
        <v>274</v>
      </c>
      <c r="F53" t="s">
        <v>275</v>
      </c>
      <c r="G53" t="s">
        <v>276</v>
      </c>
      <c r="H53" t="s">
        <v>277</v>
      </c>
      <c r="I53" t="s">
        <v>278</v>
      </c>
      <c r="J53" t="s">
        <v>276</v>
      </c>
      <c r="K53" t="s">
        <v>279</v>
      </c>
      <c r="L53" t="s">
        <v>280</v>
      </c>
      <c r="M53" t="s">
        <v>281</v>
      </c>
      <c r="N53" t="s">
        <v>282</v>
      </c>
      <c r="O53" t="s">
        <v>283</v>
      </c>
      <c r="P53" t="s">
        <v>284</v>
      </c>
      <c r="U53">
        <f>IF(ISNUMBER(SEARCH($D$969,$V$2:$V$500)),MAX($U$1:U52)+1,0)</f>
        <v>52</v>
      </c>
      <c r="V53" t="s">
        <v>61</v>
      </c>
      <c r="W53" t="str">
        <f>IFERROR(VLOOKUP(ROWS($W$2:W53),$U$2:$V$500,2,0),"")</f>
        <v>BVA_PEX_StopPaymentOrders</v>
      </c>
    </row>
    <row r="54" spans="1:23" x14ac:dyDescent="0.25">
      <c r="A54">
        <v>54</v>
      </c>
      <c r="B54" t="s">
        <v>62</v>
      </c>
      <c r="C54" t="s">
        <v>285</v>
      </c>
      <c r="D54" t="s">
        <v>286</v>
      </c>
      <c r="U54">
        <f>IF(ISNUMBER(SEARCH($D$969,$V$2:$V$500)),MAX($U$1:U53)+1,0)</f>
        <v>53</v>
      </c>
      <c r="V54" t="s">
        <v>62</v>
      </c>
      <c r="W54" t="str">
        <f>IFERROR(VLOOKUP(ROWS($W$2:W54),$U$2:$V$500,2,0),"")</f>
        <v>BVA_PEX_SubmitTransactionActions</v>
      </c>
    </row>
    <row r="55" spans="1:23" x14ac:dyDescent="0.25">
      <c r="A55">
        <v>55</v>
      </c>
      <c r="B55" t="s">
        <v>106</v>
      </c>
      <c r="C55" t="s">
        <v>249</v>
      </c>
      <c r="D55" t="s">
        <v>250</v>
      </c>
      <c r="U55">
        <f>IF(ISNUMBER(SEARCH($D$969,$V$2:$V$500)),MAX($U$1:U54)+1,0)</f>
        <v>54</v>
      </c>
      <c r="V55" t="s">
        <v>106</v>
      </c>
      <c r="W55" t="str">
        <f>IFERROR(VLOOKUP(ROWS($W$2:W55),$U$2:$V$500,2,0),"")</f>
        <v>BVA_PEX_Transaction_AdditionalDetailsVerification</v>
      </c>
    </row>
    <row r="56" spans="1:23" x14ac:dyDescent="0.25">
      <c r="A56">
        <v>56</v>
      </c>
      <c r="B56" t="s">
        <v>63</v>
      </c>
      <c r="C56" t="s">
        <v>21</v>
      </c>
      <c r="D56" t="s">
        <v>22</v>
      </c>
      <c r="E56" t="s">
        <v>10</v>
      </c>
      <c r="F56" t="s">
        <v>13</v>
      </c>
      <c r="G56" t="s">
        <v>11</v>
      </c>
      <c r="U56">
        <f>IF(ISNUMBER(SEARCH($D$969,$V$2:$V$500)),MAX($U$1:U55)+1,0)</f>
        <v>55</v>
      </c>
      <c r="V56" t="s">
        <v>63</v>
      </c>
      <c r="W56" t="str">
        <f>IFERROR(VLOOKUP(ROWS($W$2:W56),$U$2:$V$500,2,0),"")</f>
        <v>BVA_PEX_TransactionDetailsVerfication</v>
      </c>
    </row>
    <row r="57" spans="1:23" x14ac:dyDescent="0.25">
      <c r="A57">
        <v>57</v>
      </c>
      <c r="B57" t="s">
        <v>64</v>
      </c>
      <c r="C57" t="s">
        <v>287</v>
      </c>
      <c r="D57" t="s">
        <v>288</v>
      </c>
      <c r="U57">
        <f>IF(ISNUMBER(SEARCH($D$969,$V$2:$V$500)),MAX($U$1:U56)+1,0)</f>
        <v>56</v>
      </c>
      <c r="V57" t="s">
        <v>64</v>
      </c>
      <c r="W57" t="str">
        <f>IFERROR(VLOOKUP(ROWS($W$2:W57),$U$2:$V$500,2,0),"")</f>
        <v>BVA_PEX_TransactionHistory_TransactionQualification</v>
      </c>
    </row>
    <row r="58" spans="1:23" x14ac:dyDescent="0.25">
      <c r="A58">
        <v>58</v>
      </c>
      <c r="B58" t="s">
        <v>65</v>
      </c>
      <c r="C58" t="s">
        <v>289</v>
      </c>
      <c r="U58">
        <f>IF(ISNUMBER(SEARCH($D$969,$V$2:$V$500)),MAX($U$1:U57)+1,0)</f>
        <v>57</v>
      </c>
      <c r="V58" t="s">
        <v>65</v>
      </c>
      <c r="W58" t="str">
        <f>IFERROR(VLOOKUP(ROWS($W$2:W58),$U$2:$V$500,2,0),"")</f>
        <v>BVA_PEX_VerifyLinkedTransaction</v>
      </c>
    </row>
    <row r="59" spans="1:23" x14ac:dyDescent="0.25">
      <c r="A59">
        <v>59</v>
      </c>
      <c r="B59" t="s">
        <v>66</v>
      </c>
      <c r="C59" t="s">
        <v>290</v>
      </c>
      <c r="U59">
        <f>IF(ISNUMBER(SEARCH($D$969,$V$2:$V$500)),MAX($U$1:U58)+1,0)</f>
        <v>58</v>
      </c>
      <c r="V59" t="s">
        <v>66</v>
      </c>
      <c r="W59" t="str">
        <f>IFERROR(VLOOKUP(ROWS($W$2:W59),$U$2:$V$500,2,0),"")</f>
        <v>BVA_PEX_VerifyOutgoingMessageType</v>
      </c>
    </row>
    <row r="60" spans="1:23" x14ac:dyDescent="0.25">
      <c r="A60">
        <v>60</v>
      </c>
      <c r="B60" t="s">
        <v>561</v>
      </c>
      <c r="C60" t="s">
        <v>290</v>
      </c>
      <c r="U60">
        <f>IF(ISNUMBER(SEARCH($D$969,$V$2:$V$500)),MAX($U$1:U59)+1,0)</f>
        <v>59</v>
      </c>
      <c r="V60" t="s">
        <v>561</v>
      </c>
      <c r="W60" t="str">
        <f>IFERROR(VLOOKUP(ROWS($W$2:W60),$U$2:$V$500,2,0),"")</f>
        <v>BVA_PEX_VerifyOutgoingMsgtypelinkedTrans_XmlDownload</v>
      </c>
    </row>
    <row r="61" spans="1:23" x14ac:dyDescent="0.25">
      <c r="A61">
        <v>61</v>
      </c>
      <c r="B61" t="s">
        <v>67</v>
      </c>
      <c r="C61" t="s">
        <v>208</v>
      </c>
      <c r="D61" t="s">
        <v>209</v>
      </c>
      <c r="U61">
        <f>IF(ISNUMBER(SEARCH($D$969,$V$2:$V$500)),MAX($U$1:U60)+1,0)</f>
        <v>60</v>
      </c>
      <c r="V61" t="s">
        <v>67</v>
      </c>
      <c r="W61" t="str">
        <f>IFERROR(VLOOKUP(ROWS($W$2:W61),$U$2:$V$500,2,0),"")</f>
        <v>BVA_PEX_VerifySingleValueInHistory_Existance</v>
      </c>
    </row>
    <row r="62" spans="1:23" x14ac:dyDescent="0.25">
      <c r="A62">
        <v>62</v>
      </c>
      <c r="B62" t="s">
        <v>68</v>
      </c>
      <c r="C62" t="s">
        <v>208</v>
      </c>
      <c r="D62" t="s">
        <v>209</v>
      </c>
      <c r="U62">
        <f>IF(ISNUMBER(SEARCH($D$969,$V$2:$V$500)),MAX($U$1:U61)+1,0)</f>
        <v>61</v>
      </c>
      <c r="V62" t="s">
        <v>68</v>
      </c>
      <c r="W62" t="str">
        <f>IFERROR(VLOOKUP(ROWS($W$2:W62),$U$2:$V$500,2,0),"")</f>
        <v>BVA_PEX_VerifySingleValueInHistory_NonExistance</v>
      </c>
    </row>
    <row r="63" spans="1:23" x14ac:dyDescent="0.25">
      <c r="A63">
        <v>63</v>
      </c>
      <c r="B63" t="s">
        <v>69</v>
      </c>
      <c r="C63" t="s">
        <v>291</v>
      </c>
      <c r="D63" t="s">
        <v>292</v>
      </c>
      <c r="E63" t="s">
        <v>293</v>
      </c>
      <c r="F63" t="s">
        <v>294</v>
      </c>
      <c r="G63" t="s">
        <v>295</v>
      </c>
      <c r="U63">
        <f>IF(ISNUMBER(SEARCH($D$969,$V$2:$V$500)),MAX($U$1:U62)+1,0)</f>
        <v>62</v>
      </c>
      <c r="V63" t="s">
        <v>69</v>
      </c>
      <c r="W63" t="str">
        <f>IFERROR(VLOOKUP(ROWS($W$2:W63),$U$2:$V$500,2,0),"")</f>
        <v>BVA_SPG_VerifyStatus</v>
      </c>
    </row>
    <row r="64" spans="1:23" x14ac:dyDescent="0.25">
      <c r="A64">
        <v>64</v>
      </c>
      <c r="B64" t="s">
        <v>137</v>
      </c>
      <c r="C64" t="s">
        <v>475</v>
      </c>
      <c r="D64" t="s">
        <v>476</v>
      </c>
      <c r="U64">
        <f>IF(ISNUMBER(SEARCH($D$969,$V$2:$V$500)),MAX($U$1:U63)+1,0)</f>
        <v>63</v>
      </c>
      <c r="V64" t="s">
        <v>137</v>
      </c>
      <c r="W64" t="str">
        <f>IFERROR(VLOOKUP(ROWS($W$2:W64),$U$2:$V$500,2,0),"")</f>
        <v>CallRTS_Global</v>
      </c>
    </row>
    <row r="65" spans="1:23" x14ac:dyDescent="0.25">
      <c r="A65">
        <v>65</v>
      </c>
      <c r="B65" t="s">
        <v>138</v>
      </c>
      <c r="C65" t="s">
        <v>476</v>
      </c>
      <c r="U65">
        <f>IF(ISNUMBER(SEARCH($D$969,$V$2:$V$500)),MAX($U$1:U64)+1,0)</f>
        <v>64</v>
      </c>
      <c r="V65" t="s">
        <v>138</v>
      </c>
      <c r="W65" t="str">
        <f>IFERROR(VLOOKUP(ROWS($W$2:W65),$U$2:$V$500,2,0),"")</f>
        <v>CallRTS_Local</v>
      </c>
    </row>
    <row r="66" spans="1:23" x14ac:dyDescent="0.25">
      <c r="A66">
        <v>66</v>
      </c>
      <c r="B66" t="s">
        <v>70</v>
      </c>
      <c r="C66" t="s">
        <v>296</v>
      </c>
      <c r="D66" t="s">
        <v>297</v>
      </c>
      <c r="E66" t="s">
        <v>298</v>
      </c>
      <c r="F66" t="s">
        <v>299</v>
      </c>
      <c r="G66" t="s">
        <v>300</v>
      </c>
      <c r="U66">
        <f>IF(ISNUMBER(SEARCH($D$969,$V$2:$V$500)),MAX($U$1:U65)+1,0)</f>
        <v>65</v>
      </c>
      <c r="V66" t="s">
        <v>70</v>
      </c>
      <c r="W66" t="str">
        <f>IFERROR(VLOOKUP(ROWS($W$2:W66),$U$2:$V$500,2,0),"")</f>
        <v>CheckBatchFiles</v>
      </c>
    </row>
    <row r="67" spans="1:23" x14ac:dyDescent="0.25">
      <c r="A67">
        <v>67</v>
      </c>
      <c r="B67" t="s">
        <v>71</v>
      </c>
      <c r="C67" t="s">
        <v>301</v>
      </c>
      <c r="D67" t="s">
        <v>302</v>
      </c>
      <c r="E67" t="s">
        <v>303</v>
      </c>
      <c r="F67" t="s">
        <v>304</v>
      </c>
      <c r="U67">
        <f>IF(ISNUMBER(SEARCH($D$969,$V$2:$V$500)),MAX($U$1:U66)+1,0)</f>
        <v>66</v>
      </c>
      <c r="V67" t="s">
        <v>71</v>
      </c>
      <c r="W67" t="str">
        <f>IFERROR(VLOOKUP(ROWS($W$2:W67),$U$2:$V$500,2,0),"")</f>
        <v>CopyFile</v>
      </c>
    </row>
    <row r="68" spans="1:23" x14ac:dyDescent="0.25">
      <c r="A68">
        <v>68</v>
      </c>
      <c r="B68" t="s">
        <v>140</v>
      </c>
      <c r="C68" t="s">
        <v>482</v>
      </c>
      <c r="D68" t="s">
        <v>483</v>
      </c>
      <c r="U68">
        <f>IF(ISNUMBER(SEARCH($D$969,$V$2:$V$500)),MAX($U$1:U67)+1,0)</f>
        <v>67</v>
      </c>
      <c r="V68" t="s">
        <v>140</v>
      </c>
      <c r="W68" t="str">
        <f>IFERROR(VLOOKUP(ROWS($W$2:W68),$U$2:$V$500,2,0),"")</f>
        <v>CreateFile</v>
      </c>
    </row>
    <row r="69" spans="1:23" x14ac:dyDescent="0.25">
      <c r="A69">
        <v>69</v>
      </c>
      <c r="B69" t="s">
        <v>107</v>
      </c>
      <c r="C69" t="s">
        <v>305</v>
      </c>
      <c r="D69" t="s">
        <v>306</v>
      </c>
      <c r="E69" t="s">
        <v>10</v>
      </c>
      <c r="U69">
        <f>IF(ISNUMBER(SEARCH($D$969,$V$2:$V$500)),MAX($U$1:U68)+1,0)</f>
        <v>68</v>
      </c>
      <c r="V69" t="s">
        <v>107</v>
      </c>
      <c r="W69" t="str">
        <f>IFERROR(VLOOKUP(ROWS($W$2:W69),$U$2:$V$500,2,0),"")</f>
        <v>CreateFlatFile</v>
      </c>
    </row>
    <row r="70" spans="1:23" x14ac:dyDescent="0.25">
      <c r="A70">
        <v>70</v>
      </c>
      <c r="B70" t="s">
        <v>72</v>
      </c>
      <c r="C70" t="s">
        <v>16</v>
      </c>
      <c r="D70" t="s">
        <v>17</v>
      </c>
      <c r="E70" t="s">
        <v>11</v>
      </c>
      <c r="F70" t="s">
        <v>18</v>
      </c>
      <c r="G70" t="s">
        <v>10</v>
      </c>
      <c r="U70">
        <f>IF(ISNUMBER(SEARCH($D$969,$V$2:$V$500)),MAX($U$1:U69)+1,0)</f>
        <v>69</v>
      </c>
      <c r="V70" t="s">
        <v>72</v>
      </c>
      <c r="W70" t="str">
        <f>IFERROR(VLOOKUP(ROWS($W$2:W70),$U$2:$V$500,2,0),"")</f>
        <v>CreateFlatFileusingMacro</v>
      </c>
    </row>
    <row r="71" spans="1:23" x14ac:dyDescent="0.25">
      <c r="A71">
        <v>71</v>
      </c>
      <c r="B71" t="s">
        <v>4</v>
      </c>
      <c r="C71" t="s">
        <v>307</v>
      </c>
      <c r="D71" t="s">
        <v>308</v>
      </c>
      <c r="U71">
        <f>IF(ISNUMBER(SEARCH($D$969,$V$2:$V$500)),MAX($U$1:U70)+1,0)</f>
        <v>70</v>
      </c>
      <c r="V71" t="s">
        <v>4</v>
      </c>
      <c r="W71" t="str">
        <f>IFERROR(VLOOKUP(ROWS($W$2:W71),$U$2:$V$500,2,0),"")</f>
        <v>CreateIBANfromBBAN</v>
      </c>
    </row>
    <row r="72" spans="1:23" x14ac:dyDescent="0.25">
      <c r="A72">
        <v>72</v>
      </c>
      <c r="B72" t="s">
        <v>562</v>
      </c>
      <c r="C72" t="s">
        <v>309</v>
      </c>
      <c r="D72" t="s">
        <v>310</v>
      </c>
      <c r="E72" t="s">
        <v>311</v>
      </c>
      <c r="F72" t="s">
        <v>312</v>
      </c>
      <c r="G72" t="s">
        <v>313</v>
      </c>
      <c r="H72" t="s">
        <v>314</v>
      </c>
      <c r="I72" t="s">
        <v>315</v>
      </c>
      <c r="U72">
        <f>IF(ISNUMBER(SEARCH($D$969,$V$2:$V$500)),MAX($U$1:U71)+1,0)</f>
        <v>71</v>
      </c>
      <c r="V72" t="s">
        <v>562</v>
      </c>
      <c r="W72" t="str">
        <f>IFERROR(VLOOKUP(ROWS($W$2:W72),$U$2:$V$500,2,0),"")</f>
        <v>CreateSwiftMsg</v>
      </c>
    </row>
    <row r="73" spans="1:23" x14ac:dyDescent="0.25">
      <c r="A73">
        <v>73</v>
      </c>
      <c r="B73" t="s">
        <v>73</v>
      </c>
      <c r="C73" t="s">
        <v>316</v>
      </c>
      <c r="D73" t="s">
        <v>317</v>
      </c>
      <c r="E73" t="s">
        <v>318</v>
      </c>
      <c r="U73">
        <f>IF(ISNUMBER(SEARCH($D$969,$V$2:$V$500)),MAX($U$1:U72)+1,0)</f>
        <v>72</v>
      </c>
      <c r="V73" t="s">
        <v>73</v>
      </c>
      <c r="W73" t="str">
        <f>IFERROR(VLOOKUP(ROWS($W$2:W73),$U$2:$V$500,2,0),"")</f>
        <v>DateTimeFormatter</v>
      </c>
    </row>
    <row r="74" spans="1:23" x14ac:dyDescent="0.25">
      <c r="A74">
        <v>74</v>
      </c>
      <c r="B74" t="s">
        <v>74</v>
      </c>
      <c r="C74" t="s">
        <v>321</v>
      </c>
      <c r="D74" t="s">
        <v>322</v>
      </c>
      <c r="E74" t="s">
        <v>323</v>
      </c>
      <c r="U74">
        <f>IF(ISNUMBER(SEARCH($D$969,$V$2:$V$500)),MAX($U$1:U73)+1,0)</f>
        <v>73</v>
      </c>
      <c r="V74" t="s">
        <v>74</v>
      </c>
      <c r="W74" t="str">
        <f>IFERROR(VLOOKUP(ROWS($W$2:W74),$U$2:$V$500,2,0),"")</f>
        <v>DecodeFromBase64</v>
      </c>
    </row>
    <row r="75" spans="1:23" x14ac:dyDescent="0.25">
      <c r="A75">
        <v>75</v>
      </c>
      <c r="B75" t="s">
        <v>8</v>
      </c>
      <c r="C75" t="s">
        <v>319</v>
      </c>
      <c r="D75" t="s">
        <v>324</v>
      </c>
      <c r="E75" t="s">
        <v>325</v>
      </c>
      <c r="U75">
        <f>IF(ISNUMBER(SEARCH($D$969,$V$2:$V$500)),MAX($U$1:U74)+1,0)</f>
        <v>74</v>
      </c>
      <c r="V75" t="s">
        <v>8</v>
      </c>
      <c r="W75" t="str">
        <f>IFERROR(VLOOKUP(ROWS($W$2:W75),$U$2:$V$500,2,0),"")</f>
        <v>EncodeToBase64</v>
      </c>
    </row>
    <row r="76" spans="1:23" x14ac:dyDescent="0.25">
      <c r="A76">
        <v>76</v>
      </c>
      <c r="B76" t="s">
        <v>6</v>
      </c>
      <c r="U76">
        <f>IF(ISNUMBER(SEARCH($D$969,$V$2:$V$500)),MAX($U$1:U75)+1,0)</f>
        <v>75</v>
      </c>
      <c r="V76" t="s">
        <v>6</v>
      </c>
      <c r="W76" t="str">
        <f>IFERROR(VLOOKUP(ROWS($W$2:W76),$U$2:$V$500,2,0),"")</f>
        <v>End</v>
      </c>
    </row>
    <row r="77" spans="1:23" x14ac:dyDescent="0.25">
      <c r="A77">
        <v>77</v>
      </c>
      <c r="B77" t="s">
        <v>75</v>
      </c>
      <c r="C77" t="s">
        <v>326</v>
      </c>
      <c r="D77" t="s">
        <v>327</v>
      </c>
      <c r="E77" t="s">
        <v>328</v>
      </c>
      <c r="F77" t="s">
        <v>329</v>
      </c>
      <c r="G77" t="s">
        <v>330</v>
      </c>
      <c r="H77" t="s">
        <v>331</v>
      </c>
      <c r="I77" t="s">
        <v>332</v>
      </c>
      <c r="U77">
        <f>IF(ISNUMBER(SEARCH($D$969,$V$2:$V$500)),MAX($U$1:U76)+1,0)</f>
        <v>76</v>
      </c>
      <c r="V77" t="s">
        <v>75</v>
      </c>
      <c r="W77" t="str">
        <f>IFERROR(VLOOKUP(ROWS($W$2:W77),$U$2:$V$500,2,0),"")</f>
        <v>EOD_CreateCNAInputFile</v>
      </c>
    </row>
    <row r="78" spans="1:23" x14ac:dyDescent="0.25">
      <c r="A78">
        <v>78</v>
      </c>
      <c r="B78" t="s">
        <v>76</v>
      </c>
      <c r="C78" t="s">
        <v>21</v>
      </c>
      <c r="D78" t="s">
        <v>22</v>
      </c>
      <c r="E78" t="s">
        <v>10</v>
      </c>
      <c r="F78" t="s">
        <v>13</v>
      </c>
      <c r="G78" t="s">
        <v>11</v>
      </c>
      <c r="U78">
        <f>IF(ISNUMBER(SEARCH($D$969,$V$2:$V$500)),MAX($U$1:U77)+1,0)</f>
        <v>77</v>
      </c>
      <c r="V78" t="s">
        <v>76</v>
      </c>
      <c r="W78" t="str">
        <f>IFERROR(VLOOKUP(ROWS($W$2:W78),$U$2:$V$500,2,0),"")</f>
        <v>EOD_ValidateFile_IBANSorting</v>
      </c>
    </row>
    <row r="79" spans="1:23" x14ac:dyDescent="0.25">
      <c r="A79">
        <v>79</v>
      </c>
      <c r="B79" t="s">
        <v>563</v>
      </c>
      <c r="C79" t="s">
        <v>333</v>
      </c>
      <c r="D79" t="s">
        <v>334</v>
      </c>
      <c r="E79" t="s">
        <v>334</v>
      </c>
      <c r="F79" t="s">
        <v>334</v>
      </c>
      <c r="G79" t="s">
        <v>334</v>
      </c>
      <c r="H79" t="s">
        <v>335</v>
      </c>
      <c r="I79" t="s">
        <v>336</v>
      </c>
      <c r="J79" t="s">
        <v>337</v>
      </c>
      <c r="U79">
        <f>IF(ISNUMBER(SEARCH($D$969,$V$2:$V$500)),MAX($U$1:U78)+1,0)</f>
        <v>78</v>
      </c>
      <c r="V79" t="s">
        <v>563</v>
      </c>
      <c r="W79" t="str">
        <f>IFERROR(VLOOKUP(ROWS($W$2:W79),$U$2:$V$500,2,0),"")</f>
        <v>EXECUTELINUXACTION</v>
      </c>
    </row>
    <row r="80" spans="1:23" x14ac:dyDescent="0.25">
      <c r="A80">
        <v>80</v>
      </c>
      <c r="B80" t="s">
        <v>77</v>
      </c>
      <c r="C80" t="s">
        <v>338</v>
      </c>
      <c r="D80" t="s">
        <v>339</v>
      </c>
      <c r="E80" t="s">
        <v>340</v>
      </c>
      <c r="F80" t="s">
        <v>341</v>
      </c>
      <c r="G80" t="s">
        <v>342</v>
      </c>
      <c r="H80" t="s">
        <v>343</v>
      </c>
      <c r="I80" t="s">
        <v>343</v>
      </c>
      <c r="J80" t="s">
        <v>343</v>
      </c>
      <c r="K80" t="s">
        <v>343</v>
      </c>
      <c r="L80" t="s">
        <v>343</v>
      </c>
      <c r="U80">
        <f>IF(ISNUMBER(SEARCH($D$969,$V$2:$V$500)),MAX($U$1:U79)+1,0)</f>
        <v>79</v>
      </c>
      <c r="V80" t="s">
        <v>77</v>
      </c>
      <c r="W80" t="str">
        <f>IFERROR(VLOOKUP(ROWS($W$2:W80),$U$2:$V$500,2,0),"")</f>
        <v>ExecuteLinuxActionLogTime</v>
      </c>
    </row>
    <row r="81" spans="1:23" x14ac:dyDescent="0.25">
      <c r="A81">
        <v>81</v>
      </c>
      <c r="B81" t="s">
        <v>564</v>
      </c>
      <c r="C81" t="s">
        <v>319</v>
      </c>
      <c r="D81" t="s">
        <v>344</v>
      </c>
      <c r="E81" t="s">
        <v>345</v>
      </c>
      <c r="U81">
        <f>IF(ISNUMBER(SEARCH($D$969,$V$2:$V$500)),MAX($U$1:U80)+1,0)</f>
        <v>80</v>
      </c>
      <c r="V81" t="s">
        <v>564</v>
      </c>
      <c r="W81" t="str">
        <f>IFERROR(VLOOKUP(ROWS($W$2:W81),$U$2:$V$500,2,0),"")</f>
        <v>EXECUTEMQTESTERTOOL</v>
      </c>
    </row>
    <row r="82" spans="1:23" x14ac:dyDescent="0.25">
      <c r="A82">
        <v>82</v>
      </c>
      <c r="B82" t="s">
        <v>78</v>
      </c>
      <c r="C82" t="s">
        <v>346</v>
      </c>
      <c r="D82" t="s">
        <v>347</v>
      </c>
      <c r="E82" t="s">
        <v>348</v>
      </c>
      <c r="F82" t="s">
        <v>349</v>
      </c>
      <c r="G82" t="s">
        <v>350</v>
      </c>
      <c r="H82" t="s">
        <v>351</v>
      </c>
      <c r="U82">
        <f>IF(ISNUMBER(SEARCH($D$969,$V$2:$V$500)),MAX($U$1:U81)+1,0)</f>
        <v>81</v>
      </c>
      <c r="V82" t="s">
        <v>78</v>
      </c>
      <c r="W82" t="str">
        <f>IFERROR(VLOOKUP(ROWS($W$2:W82),$U$2:$V$500,2,0),"")</f>
        <v>ExecuteSOAPAction</v>
      </c>
    </row>
    <row r="83" spans="1:23" x14ac:dyDescent="0.25">
      <c r="A83">
        <v>83</v>
      </c>
      <c r="B83" t="s">
        <v>79</v>
      </c>
      <c r="C83" t="s">
        <v>16</v>
      </c>
      <c r="D83" t="s">
        <v>17</v>
      </c>
      <c r="E83" t="s">
        <v>11</v>
      </c>
      <c r="F83" t="s">
        <v>18</v>
      </c>
      <c r="G83" t="s">
        <v>13</v>
      </c>
      <c r="U83">
        <f>IF(ISNUMBER(SEARCH($D$969,$V$2:$V$500)),MAX($U$1:U82)+1,0)</f>
        <v>82</v>
      </c>
      <c r="V83" t="s">
        <v>79</v>
      </c>
      <c r="W83" t="str">
        <f>IFERROR(VLOOKUP(ROWS($W$2:W83),$U$2:$V$500,2,0),"")</f>
        <v>ExecuteSOAPActionSecureCertificate</v>
      </c>
    </row>
    <row r="84" spans="1:23" x14ac:dyDescent="0.25">
      <c r="A84">
        <v>84</v>
      </c>
      <c r="B84" t="s">
        <v>80</v>
      </c>
      <c r="C84" t="s">
        <v>352</v>
      </c>
      <c r="D84" t="s">
        <v>353</v>
      </c>
      <c r="E84" t="s">
        <v>354</v>
      </c>
      <c r="F84" t="s">
        <v>355</v>
      </c>
      <c r="U84">
        <f>IF(ISNUMBER(SEARCH($D$969,$V$2:$V$500)),MAX($U$1:U83)+1,0)</f>
        <v>83</v>
      </c>
      <c r="V84" t="s">
        <v>80</v>
      </c>
      <c r="W84" t="str">
        <f>IFERROR(VLOOKUP(ROWS($W$2:W84),$U$2:$V$500,2,0),"")</f>
        <v>ExecuteSQLQuery</v>
      </c>
    </row>
    <row r="85" spans="1:23" x14ac:dyDescent="0.25">
      <c r="A85">
        <v>85</v>
      </c>
      <c r="B85" t="s">
        <v>81</v>
      </c>
      <c r="C85" t="s">
        <v>356</v>
      </c>
      <c r="D85" t="s">
        <v>357</v>
      </c>
      <c r="E85" t="s">
        <v>358</v>
      </c>
      <c r="F85" t="s">
        <v>359</v>
      </c>
      <c r="G85" t="s">
        <v>360</v>
      </c>
      <c r="U85">
        <f>IF(ISNUMBER(SEARCH($D$969,$V$2:$V$500)),MAX($U$1:U84)+1,0)</f>
        <v>84</v>
      </c>
      <c r="V85" t="s">
        <v>81</v>
      </c>
      <c r="W85" t="str">
        <f>IFERROR(VLOOKUP(ROWS($W$2:W85),$U$2:$V$500,2,0),"")</f>
        <v>ExtractLOBtoXML</v>
      </c>
    </row>
    <row r="86" spans="1:23" x14ac:dyDescent="0.25">
      <c r="A86">
        <v>86</v>
      </c>
      <c r="B86" t="s">
        <v>82</v>
      </c>
      <c r="C86" t="s">
        <v>306</v>
      </c>
      <c r="D86" t="s">
        <v>361</v>
      </c>
      <c r="U86">
        <f>IF(ISNUMBER(SEARCH($D$969,$V$2:$V$500)),MAX($U$1:U85)+1,0)</f>
        <v>85</v>
      </c>
      <c r="V86" t="s">
        <v>82</v>
      </c>
      <c r="W86" t="str">
        <f>IFERROR(VLOOKUP(ROWS($W$2:W86),$U$2:$V$500,2,0),"")</f>
        <v>FetchHeaderfromFlatFileOLA</v>
      </c>
    </row>
    <row r="87" spans="1:23" x14ac:dyDescent="0.25">
      <c r="A87">
        <v>87</v>
      </c>
      <c r="B87" t="s">
        <v>565</v>
      </c>
      <c r="U87">
        <f>IF(ISNUMBER(SEARCH($D$969,$V$2:$V$500)),MAX($U$1:U86)+1,0)</f>
        <v>86</v>
      </c>
      <c r="V87" t="s">
        <v>565</v>
      </c>
      <c r="W87" t="str">
        <f>IFERROR(VLOOKUP(ROWS($W$2:W87),$U$2:$V$500,2,0),"")</f>
        <v>FetchInitalTransactionXlOutput</v>
      </c>
    </row>
    <row r="88" spans="1:23" x14ac:dyDescent="0.25">
      <c r="A88">
        <v>88</v>
      </c>
      <c r="B88" t="s">
        <v>566</v>
      </c>
      <c r="C88" t="s">
        <v>362</v>
      </c>
      <c r="D88" t="s">
        <v>363</v>
      </c>
      <c r="E88" t="s">
        <v>364</v>
      </c>
      <c r="U88">
        <f>IF(ISNUMBER(SEARCH($D$969,$V$2:$V$500)),MAX($U$1:U87)+1,0)</f>
        <v>87</v>
      </c>
      <c r="V88" t="s">
        <v>566</v>
      </c>
      <c r="W88" t="str">
        <f>IFERROR(VLOOKUP(ROWS($W$2:W88),$U$2:$V$500,2,0),"")</f>
        <v>FetchLinuxID</v>
      </c>
    </row>
    <row r="89" spans="1:23" x14ac:dyDescent="0.25">
      <c r="A89">
        <v>89</v>
      </c>
      <c r="B89" t="s">
        <v>567</v>
      </c>
      <c r="C89" t="s">
        <v>365</v>
      </c>
      <c r="D89" t="s">
        <v>366</v>
      </c>
      <c r="U89">
        <f>IF(ISNUMBER(SEARCH($D$969,$V$2:$V$500)),MAX($U$1:U88)+1,0)</f>
        <v>88</v>
      </c>
      <c r="V89" t="s">
        <v>567</v>
      </c>
      <c r="W89" t="str">
        <f>IFERROR(VLOOKUP(ROWS($W$2:W89),$U$2:$V$500,2,0),"")</f>
        <v>Generate_IpmGunCMDFile</v>
      </c>
    </row>
    <row r="90" spans="1:23" x14ac:dyDescent="0.25">
      <c r="A90">
        <v>90</v>
      </c>
      <c r="B90" t="s">
        <v>139</v>
      </c>
      <c r="C90" t="s">
        <v>477</v>
      </c>
      <c r="D90" t="s">
        <v>478</v>
      </c>
      <c r="E90" t="s">
        <v>479</v>
      </c>
      <c r="F90" t="s">
        <v>480</v>
      </c>
      <c r="G90" t="s">
        <v>481</v>
      </c>
      <c r="U90">
        <f>IF(ISNUMBER(SEARCH($D$969,$V$2:$V$500)),MAX($U$1:U89)+1,0)</f>
        <v>89</v>
      </c>
      <c r="V90" t="s">
        <v>139</v>
      </c>
      <c r="W90" t="str">
        <f>IFERROR(VLOOKUP(ROWS($W$2:W90),$U$2:$V$500,2,0),"")</f>
        <v>Ideal_CreateFlatFile</v>
      </c>
    </row>
    <row r="91" spans="1:23" x14ac:dyDescent="0.25">
      <c r="A91">
        <v>91</v>
      </c>
      <c r="B91" t="s">
        <v>83</v>
      </c>
      <c r="C91" t="s">
        <v>367</v>
      </c>
      <c r="D91" t="s">
        <v>368</v>
      </c>
      <c r="E91" t="s">
        <v>369</v>
      </c>
      <c r="F91" t="s">
        <v>370</v>
      </c>
      <c r="G91" t="s">
        <v>371</v>
      </c>
      <c r="H91" t="s">
        <v>372</v>
      </c>
      <c r="I91" t="s">
        <v>373</v>
      </c>
      <c r="J91" t="s">
        <v>374</v>
      </c>
      <c r="U91">
        <f>IF(ISNUMBER(SEARCH($D$969,$V$2:$V$500)),MAX($U$1:U90)+1,0)</f>
        <v>90</v>
      </c>
      <c r="V91" t="s">
        <v>83</v>
      </c>
      <c r="W91" t="str">
        <f>IFERROR(VLOOKUP(ROWS($W$2:W91),$U$2:$V$500,2,0),"")</f>
        <v>InitiatePaymentUsingIPMGun</v>
      </c>
    </row>
    <row r="92" spans="1:23" x14ac:dyDescent="0.25">
      <c r="A92">
        <v>92</v>
      </c>
      <c r="B92" t="s">
        <v>84</v>
      </c>
      <c r="C92" t="s">
        <v>367</v>
      </c>
      <c r="D92" t="s">
        <v>368</v>
      </c>
      <c r="E92" t="s">
        <v>369</v>
      </c>
      <c r="F92" t="s">
        <v>370</v>
      </c>
      <c r="G92" t="s">
        <v>371</v>
      </c>
      <c r="H92" t="s">
        <v>372</v>
      </c>
      <c r="I92" t="s">
        <v>373</v>
      </c>
      <c r="J92" t="s">
        <v>374</v>
      </c>
      <c r="K92" t="s">
        <v>375</v>
      </c>
      <c r="L92" t="s">
        <v>376</v>
      </c>
      <c r="U92">
        <f>IF(ISNUMBER(SEARCH($D$969,$V$2:$V$500)),MAX($U$1:U91)+1,0)</f>
        <v>91</v>
      </c>
      <c r="V92" t="s">
        <v>84</v>
      </c>
      <c r="W92" t="str">
        <f>IFERROR(VLOOKUP(ROWS($W$2:W92),$U$2:$V$500,2,0),"")</f>
        <v>InitiatePaymentUsingIPMGun_Error</v>
      </c>
    </row>
    <row r="93" spans="1:23" x14ac:dyDescent="0.25">
      <c r="A93">
        <v>93</v>
      </c>
      <c r="B93" t="s">
        <v>103</v>
      </c>
      <c r="C93" t="s">
        <v>213</v>
      </c>
      <c r="D93" t="s">
        <v>214</v>
      </c>
      <c r="U93">
        <f>IF(ISNUMBER(SEARCH($D$969,$V$2:$V$500)),MAX($U$1:U92)+1,0)</f>
        <v>92</v>
      </c>
      <c r="V93" t="s">
        <v>103</v>
      </c>
      <c r="W93" t="str">
        <f>IFERROR(VLOOKUP(ROWS($W$2:W93),$U$2:$V$500,2,0),"")</f>
        <v>BVA_ORM_OutgoingInterchange_Instruction_Download</v>
      </c>
    </row>
    <row r="94" spans="1:23" x14ac:dyDescent="0.25">
      <c r="A94">
        <v>94</v>
      </c>
      <c r="B94" t="s">
        <v>51</v>
      </c>
      <c r="C94" t="s">
        <v>213</v>
      </c>
      <c r="D94" t="s">
        <v>255</v>
      </c>
      <c r="U94">
        <f>IF(ISNUMBER(SEARCH($D$969,$V$2:$V$500)),MAX($U$1:U93)+1,0)</f>
        <v>93</v>
      </c>
      <c r="V94" t="s">
        <v>51</v>
      </c>
      <c r="W94" t="str">
        <f>IFERROR(VLOOKUP(ROWS($W$2:W94),$U$2:$V$500,2,0),"")</f>
        <v>BVA_PEX_OutgoingInterchange_Instruction_Download</v>
      </c>
    </row>
    <row r="95" spans="1:23" x14ac:dyDescent="0.25">
      <c r="A95">
        <v>95</v>
      </c>
      <c r="B95" t="s">
        <v>568</v>
      </c>
      <c r="U95">
        <f>IF(ISNUMBER(SEARCH($D$969,$V$2:$V$500)),MAX($U$1:U94)+1,0)</f>
        <v>94</v>
      </c>
      <c r="V95" t="s">
        <v>568</v>
      </c>
      <c r="W95" t="str">
        <f>IFERROR(VLOOKUP(ROWS($W$2:W95),$U$2:$V$500,2,0),"")</f>
        <v>Launch_BVA_BOC</v>
      </c>
    </row>
    <row r="96" spans="1:23" x14ac:dyDescent="0.25">
      <c r="A96">
        <v>96</v>
      </c>
      <c r="B96" t="s">
        <v>109</v>
      </c>
      <c r="C96" t="s">
        <v>377</v>
      </c>
      <c r="D96" t="s">
        <v>378</v>
      </c>
      <c r="U96">
        <f>IF(ISNUMBER(SEARCH($D$969,$V$2:$V$500)),MAX($U$1:U95)+1,0)</f>
        <v>95</v>
      </c>
      <c r="V96" t="s">
        <v>109</v>
      </c>
      <c r="W96" t="str">
        <f>IFERROR(VLOOKUP(ROWS($W$2:W96),$U$2:$V$500,2,0),"")</f>
        <v>Launch_BVA_ORMURL</v>
      </c>
    </row>
    <row r="97" spans="1:23" x14ac:dyDescent="0.25">
      <c r="A97">
        <v>97</v>
      </c>
      <c r="B97" t="s">
        <v>110</v>
      </c>
      <c r="C97" t="s">
        <v>379</v>
      </c>
      <c r="D97" t="s">
        <v>380</v>
      </c>
      <c r="U97">
        <f>IF(ISNUMBER(SEARCH($D$969,$V$2:$V$500)),MAX($U$1:U96)+1,0)</f>
        <v>96</v>
      </c>
      <c r="V97" t="s">
        <v>110</v>
      </c>
      <c r="W97" t="str">
        <f>IFERROR(VLOOKUP(ROWS($W$2:W97),$U$2:$V$500,2,0),"")</f>
        <v>Launch_BVA_PEXURL</v>
      </c>
    </row>
    <row r="98" spans="1:23" x14ac:dyDescent="0.25">
      <c r="A98">
        <v>98</v>
      </c>
      <c r="B98" t="s">
        <v>111</v>
      </c>
      <c r="C98" t="s">
        <v>377</v>
      </c>
      <c r="D98" t="s">
        <v>381</v>
      </c>
      <c r="U98">
        <f>IF(ISNUMBER(SEARCH($D$969,$V$2:$V$500)),MAX($U$1:U97)+1,0)</f>
        <v>97</v>
      </c>
      <c r="V98" t="s">
        <v>111</v>
      </c>
      <c r="W98" t="str">
        <f>IFERROR(VLOOKUP(ROWS($W$2:W98),$U$2:$V$500,2,0),"")</f>
        <v>Launch_BVA_SPGURL</v>
      </c>
    </row>
    <row r="99" spans="1:23" x14ac:dyDescent="0.25">
      <c r="A99">
        <v>99</v>
      </c>
      <c r="B99" t="s">
        <v>112</v>
      </c>
      <c r="C99" t="s">
        <v>171</v>
      </c>
      <c r="U99">
        <f>IF(ISNUMBER(SEARCH($D$969,$V$2:$V$500)),MAX($U$1:U98)+1,0)</f>
        <v>98</v>
      </c>
      <c r="V99" t="s">
        <v>112</v>
      </c>
      <c r="W99" t="str">
        <f>IFERROR(VLOOKUP(ROWS($W$2:W99),$U$2:$V$500,2,0),"")</f>
        <v>LaunchAviva</v>
      </c>
    </row>
    <row r="100" spans="1:23" x14ac:dyDescent="0.25">
      <c r="A100">
        <v>100</v>
      </c>
      <c r="B100" t="s">
        <v>569</v>
      </c>
      <c r="U100">
        <f>IF(ISNUMBER(SEARCH($D$969,$V$2:$V$500)),MAX($U$1:U99)+1,0)</f>
        <v>99</v>
      </c>
      <c r="V100" t="s">
        <v>569</v>
      </c>
      <c r="W100" t="str">
        <f>IFERROR(VLOOKUP(ROWS($W$2:W100),$U$2:$V$500,2,0),"")</f>
        <v>LaunchPuttySearchLogFile</v>
      </c>
    </row>
    <row r="101" spans="1:23" x14ac:dyDescent="0.25">
      <c r="A101">
        <v>101</v>
      </c>
      <c r="B101" t="s">
        <v>113</v>
      </c>
      <c r="C101" t="s">
        <v>171</v>
      </c>
      <c r="U101">
        <f>IF(ISNUMBER(SEARCH($D$969,$V$2:$V$500)),MAX($U$1:U100)+1,0)</f>
        <v>100</v>
      </c>
      <c r="V101" t="s">
        <v>113</v>
      </c>
      <c r="W101" t="str">
        <f>IFERROR(VLOOKUP(ROWS($W$2:W101),$U$2:$V$500,2,0),"")</f>
        <v>LogOffAviva</v>
      </c>
    </row>
    <row r="102" spans="1:23" x14ac:dyDescent="0.25">
      <c r="A102">
        <v>102</v>
      </c>
      <c r="B102" t="s">
        <v>114</v>
      </c>
      <c r="C102" t="s">
        <v>382</v>
      </c>
      <c r="D102" t="s">
        <v>383</v>
      </c>
      <c r="E102" t="s">
        <v>384</v>
      </c>
      <c r="F102" t="s">
        <v>385</v>
      </c>
      <c r="G102" t="s">
        <v>386</v>
      </c>
      <c r="H102" t="s">
        <v>387</v>
      </c>
      <c r="I102" t="s">
        <v>388</v>
      </c>
      <c r="J102" t="s">
        <v>389</v>
      </c>
      <c r="U102">
        <f>IF(ISNUMBER(SEARCH($D$969,$V$2:$V$500)),MAX($U$1:U101)+1,0)</f>
        <v>101</v>
      </c>
      <c r="V102" t="s">
        <v>114</v>
      </c>
      <c r="W102" t="str">
        <f>IFERROR(VLOOKUP(ROWS($W$2:W102),$U$2:$V$500,2,0),"")</f>
        <v>Perform_FileZillaOperation</v>
      </c>
    </row>
    <row r="103" spans="1:23" x14ac:dyDescent="0.25">
      <c r="A103">
        <v>103</v>
      </c>
      <c r="B103" t="s">
        <v>115</v>
      </c>
      <c r="C103" t="s">
        <v>390</v>
      </c>
      <c r="D103" t="s">
        <v>391</v>
      </c>
      <c r="E103" t="s">
        <v>392</v>
      </c>
      <c r="F103" t="s">
        <v>393</v>
      </c>
      <c r="U103">
        <f>IF(ISNUMBER(SEARCH($D$969,$V$2:$V$500)),MAX($U$1:U102)+1,0)</f>
        <v>102</v>
      </c>
      <c r="V103" t="s">
        <v>115</v>
      </c>
      <c r="W103" t="str">
        <f>IFERROR(VLOOKUP(ROWS($W$2:W103),$U$2:$V$500,2,0),"")</f>
        <v>PEX_GAT1_OPF_CONNECTOR</v>
      </c>
    </row>
    <row r="104" spans="1:23" x14ac:dyDescent="0.25">
      <c r="A104">
        <v>104</v>
      </c>
      <c r="B104" t="s">
        <v>116</v>
      </c>
      <c r="C104" t="s">
        <v>394</v>
      </c>
      <c r="D104" t="s">
        <v>395</v>
      </c>
      <c r="E104" t="s">
        <v>396</v>
      </c>
      <c r="F104" t="s">
        <v>397</v>
      </c>
      <c r="U104">
        <f>IF(ISNUMBER(SEARCH($D$969,$V$2:$V$500)),MAX($U$1:U103)+1,0)</f>
        <v>103</v>
      </c>
      <c r="V104" t="s">
        <v>116</v>
      </c>
      <c r="W104" t="str">
        <f>IFERROR(VLOOKUP(ROWS($W$2:W104),$U$2:$V$500,2,0),"")</f>
        <v>Putty_Fetch_Copy_Report</v>
      </c>
    </row>
    <row r="105" spans="1:23" x14ac:dyDescent="0.25">
      <c r="A105">
        <v>105</v>
      </c>
      <c r="B105" t="s">
        <v>117</v>
      </c>
      <c r="C105" t="s">
        <v>394</v>
      </c>
      <c r="D105" t="s">
        <v>382</v>
      </c>
      <c r="E105" t="s">
        <v>395</v>
      </c>
      <c r="U105">
        <f>IF(ISNUMBER(SEARCH($D$969,$V$2:$V$500)),MAX($U$1:U104)+1,0)</f>
        <v>104</v>
      </c>
      <c r="V105" t="s">
        <v>117</v>
      </c>
      <c r="W105" t="str">
        <f>IFERROR(VLOOKUP(ROWS($W$2:W105),$U$2:$V$500,2,0),"")</f>
        <v>PuttyReportDownload</v>
      </c>
    </row>
    <row r="106" spans="1:23" x14ac:dyDescent="0.25">
      <c r="A106">
        <v>106</v>
      </c>
      <c r="B106" t="s">
        <v>118</v>
      </c>
      <c r="C106" t="s">
        <v>398</v>
      </c>
      <c r="D106" t="s">
        <v>399</v>
      </c>
      <c r="U106">
        <f>IF(ISNUMBER(SEARCH($D$969,$V$2:$V$500)),MAX($U$1:U105)+1,0)</f>
        <v>105</v>
      </c>
      <c r="V106" t="s">
        <v>118</v>
      </c>
      <c r="W106" t="str">
        <f>IFERROR(VLOOKUP(ROWS($W$2:W106),$U$2:$V$500,2,0),"")</f>
        <v>ReconcileBookingEvents</v>
      </c>
    </row>
    <row r="107" spans="1:23" x14ac:dyDescent="0.25">
      <c r="A107">
        <v>107</v>
      </c>
      <c r="B107" t="s">
        <v>570</v>
      </c>
      <c r="C107" t="s">
        <v>400</v>
      </c>
      <c r="D107" t="s">
        <v>401</v>
      </c>
      <c r="U107">
        <f>IF(ISNUMBER(SEARCH($D$969,$V$2:$V$500)),MAX($U$1:U106)+1,0)</f>
        <v>106</v>
      </c>
      <c r="V107" t="s">
        <v>570</v>
      </c>
      <c r="W107" t="str">
        <f>IFERROR(VLOOKUP(ROWS($W$2:W107),$U$2:$V$500,2,0),"")</f>
        <v>RemoveEmptyXmlNodes</v>
      </c>
    </row>
    <row r="108" spans="1:23" x14ac:dyDescent="0.25">
      <c r="A108">
        <v>108</v>
      </c>
      <c r="B108" t="s">
        <v>119</v>
      </c>
      <c r="C108" t="s">
        <v>402</v>
      </c>
      <c r="D108" t="s">
        <v>403</v>
      </c>
      <c r="E108" t="s">
        <v>404</v>
      </c>
      <c r="U108">
        <f>IF(ISNUMBER(SEARCH($D$969,$V$2:$V$500)),MAX($U$1:U107)+1,0)</f>
        <v>107</v>
      </c>
      <c r="V108" t="s">
        <v>119</v>
      </c>
      <c r="W108" t="str">
        <f>IFERROR(VLOOKUP(ROWS($W$2:W108),$U$2:$V$500,2,0),"")</f>
        <v>RenameFile</v>
      </c>
    </row>
    <row r="109" spans="1:23" x14ac:dyDescent="0.25">
      <c r="A109">
        <v>109</v>
      </c>
      <c r="B109" t="s">
        <v>94</v>
      </c>
      <c r="C109" t="s">
        <v>161</v>
      </c>
      <c r="U109">
        <f>IF(ISNUMBER(SEARCH($D$969,$V$2:$V$500)),MAX($U$1:U108)+1,0)</f>
        <v>108</v>
      </c>
      <c r="V109" t="s">
        <v>94</v>
      </c>
      <c r="W109" t="str">
        <f>IFERROR(VLOOKUP(ROWS($W$2:W109),$U$2:$V$500,2,0),"")</f>
        <v>ReportDescriptor</v>
      </c>
    </row>
    <row r="110" spans="1:23" x14ac:dyDescent="0.25">
      <c r="A110">
        <v>110</v>
      </c>
      <c r="B110" t="s">
        <v>120</v>
      </c>
      <c r="C110" t="s">
        <v>405</v>
      </c>
      <c r="D110" t="s">
        <v>406</v>
      </c>
      <c r="E110" t="s">
        <v>407</v>
      </c>
      <c r="U110">
        <f>IF(ISNUMBER(SEARCH($D$969,$V$2:$V$500)),MAX($U$1:U109)+1,0)</f>
        <v>109</v>
      </c>
      <c r="V110" t="s">
        <v>120</v>
      </c>
      <c r="W110" t="str">
        <f>IFERROR(VLOOKUP(ROWS($W$2:W110),$U$2:$V$500,2,0),"")</f>
        <v>ResponseOutputIPMGun</v>
      </c>
    </row>
    <row r="111" spans="1:23" x14ac:dyDescent="0.25">
      <c r="A111">
        <v>111</v>
      </c>
      <c r="B111" t="s">
        <v>121</v>
      </c>
      <c r="C111" t="s">
        <v>408</v>
      </c>
      <c r="D111" t="s">
        <v>409</v>
      </c>
      <c r="U111">
        <f>IF(ISNUMBER(SEARCH($D$969,$V$2:$V$500)),MAX($U$1:U110)+1,0)</f>
        <v>110</v>
      </c>
      <c r="V111" t="s">
        <v>121</v>
      </c>
      <c r="W111" t="str">
        <f>IFERROR(VLOOKUP(ROWS($W$2:W111),$U$2:$V$500,2,0),"")</f>
        <v>SCTSPG_SubmitJob</v>
      </c>
    </row>
    <row r="112" spans="1:23" x14ac:dyDescent="0.25">
      <c r="A112">
        <v>112</v>
      </c>
      <c r="B112" t="s">
        <v>136</v>
      </c>
      <c r="C112" t="s">
        <v>465</v>
      </c>
      <c r="D112" t="s">
        <v>466</v>
      </c>
      <c r="E112" t="s">
        <v>467</v>
      </c>
      <c r="F112" t="s">
        <v>468</v>
      </c>
      <c r="G112" t="s">
        <v>469</v>
      </c>
      <c r="H112" t="s">
        <v>370</v>
      </c>
      <c r="I112" t="s">
        <v>371</v>
      </c>
      <c r="J112" t="s">
        <v>470</v>
      </c>
      <c r="K112" t="s">
        <v>471</v>
      </c>
      <c r="L112" t="s">
        <v>472</v>
      </c>
      <c r="M112" t="s">
        <v>473</v>
      </c>
      <c r="N112" t="s">
        <v>474</v>
      </c>
      <c r="U112">
        <f>IF(ISNUMBER(SEARCH($D$969,$V$2:$V$500)),MAX($U$1:U111)+1,0)</f>
        <v>111</v>
      </c>
      <c r="V112" t="s">
        <v>136</v>
      </c>
      <c r="W112" t="str">
        <f>IFERROR(VLOOKUP(ROWS($W$2:W112),$U$2:$V$500,2,0),"")</f>
        <v>SendMessageToMQ</v>
      </c>
    </row>
    <row r="113" spans="1:23" x14ac:dyDescent="0.25">
      <c r="A113">
        <v>113</v>
      </c>
      <c r="B113" t="s">
        <v>571</v>
      </c>
      <c r="U113">
        <f>IF(ISNUMBER(SEARCH($D$969,$V$2:$V$500)),MAX($U$1:U112)+1,0)</f>
        <v>112</v>
      </c>
      <c r="V113" t="s">
        <v>571</v>
      </c>
      <c r="W113" t="str">
        <f>IFERROR(VLOOKUP(ROWS($W$2:W113),$U$2:$V$500,2,0),"")</f>
        <v>SimpleSearch_BVA_BOC</v>
      </c>
    </row>
    <row r="114" spans="1:23" x14ac:dyDescent="0.25">
      <c r="A114">
        <v>114</v>
      </c>
      <c r="B114" t="s">
        <v>572</v>
      </c>
      <c r="U114">
        <f>IF(ISNUMBER(SEARCH($D$969,$V$2:$V$500)),MAX($U$1:U113)+1,0)</f>
        <v>113</v>
      </c>
      <c r="V114" t="s">
        <v>572</v>
      </c>
      <c r="W114" t="str">
        <f>IFERROR(VLOOKUP(ROWS($W$2:W114),$U$2:$V$500,2,0),"")</f>
        <v>SimpleSearchUnknown_BVA_BOC</v>
      </c>
    </row>
    <row r="115" spans="1:23" x14ac:dyDescent="0.25">
      <c r="A115">
        <v>115</v>
      </c>
      <c r="B115" t="s">
        <v>95</v>
      </c>
      <c r="U115">
        <f>IF(ISNUMBER(SEARCH($D$969,$V$2:$V$500)),MAX($U$1:U114)+1,0)</f>
        <v>114</v>
      </c>
      <c r="V115" t="s">
        <v>95</v>
      </c>
      <c r="W115" t="str">
        <f>IFERROR(VLOOKUP(ROWS($W$2:W115),$U$2:$V$500,2,0),"")</f>
        <v>Start</v>
      </c>
    </row>
    <row r="116" spans="1:23" x14ac:dyDescent="0.25">
      <c r="A116">
        <v>116</v>
      </c>
      <c r="B116" t="s">
        <v>141</v>
      </c>
      <c r="U116">
        <f>IF(ISNUMBER(SEARCH($D$969,$V$2:$V$500)),MAX($U$1:U115)+1,0)</f>
        <v>115</v>
      </c>
      <c r="V116" t="s">
        <v>141</v>
      </c>
      <c r="W116" t="str">
        <f>IFERROR(VLOOKUP(ROWS($W$2:W116),$U$2:$V$500,2,0),"")</f>
        <v>StringFormatter</v>
      </c>
    </row>
    <row r="117" spans="1:23" x14ac:dyDescent="0.25">
      <c r="A117">
        <v>117</v>
      </c>
      <c r="B117" t="s">
        <v>122</v>
      </c>
      <c r="C117" t="s">
        <v>410</v>
      </c>
      <c r="D117" t="s">
        <v>411</v>
      </c>
      <c r="E117" t="s">
        <v>412</v>
      </c>
      <c r="F117" t="s">
        <v>413</v>
      </c>
      <c r="G117" t="s">
        <v>414</v>
      </c>
      <c r="H117" t="s">
        <v>415</v>
      </c>
      <c r="U117">
        <f>IF(ISNUMBER(SEARCH($D$969,$V$2:$V$500)),MAX($U$1:U116)+1,0)</f>
        <v>116</v>
      </c>
      <c r="V117" t="s">
        <v>122</v>
      </c>
      <c r="W117" t="str">
        <f>IFERROR(VLOOKUP(ROWS($W$2:W117),$U$2:$V$500,2,0),"")</f>
        <v>Submit_VerifyJob</v>
      </c>
    </row>
    <row r="118" spans="1:23" x14ac:dyDescent="0.25">
      <c r="A118">
        <v>118</v>
      </c>
      <c r="B118" t="s">
        <v>123</v>
      </c>
      <c r="C118" t="s">
        <v>416</v>
      </c>
      <c r="D118" t="s">
        <v>417</v>
      </c>
      <c r="E118" t="s">
        <v>418</v>
      </c>
      <c r="F118" t="s">
        <v>419</v>
      </c>
      <c r="U118">
        <f>IF(ISNUMBER(SEARCH($D$969,$V$2:$V$500)),MAX($U$1:U117)+1,0)</f>
        <v>117</v>
      </c>
      <c r="V118" t="s">
        <v>123</v>
      </c>
      <c r="W118" t="str">
        <f>IFERROR(VLOOKUP(ROWS($W$2:W118),$U$2:$V$500,2,0),"")</f>
        <v>SystemLogVerification</v>
      </c>
    </row>
    <row r="119" spans="1:23" x14ac:dyDescent="0.25">
      <c r="A119">
        <v>119</v>
      </c>
      <c r="B119" t="s">
        <v>573</v>
      </c>
      <c r="C119" t="s">
        <v>420</v>
      </c>
      <c r="D119" t="s">
        <v>421</v>
      </c>
      <c r="E119" t="s">
        <v>422</v>
      </c>
      <c r="F119" t="s">
        <v>423</v>
      </c>
      <c r="G119" t="s">
        <v>424</v>
      </c>
      <c r="H119" t="s">
        <v>424</v>
      </c>
      <c r="I119" t="s">
        <v>424</v>
      </c>
      <c r="J119" t="s">
        <v>424</v>
      </c>
      <c r="K119" t="s">
        <v>424</v>
      </c>
      <c r="L119" t="s">
        <v>424</v>
      </c>
      <c r="U119">
        <f>IF(ISNUMBER(SEARCH($D$969,$V$2:$V$500)),MAX($U$1:U118)+1,0)</f>
        <v>118</v>
      </c>
      <c r="V119" t="s">
        <v>573</v>
      </c>
      <c r="W119" t="str">
        <f>IFERROR(VLOOKUP(ROWS($W$2:W119),$U$2:$V$500,2,0),"")</f>
        <v>UpdateSQL</v>
      </c>
    </row>
    <row r="120" spans="1:23" x14ac:dyDescent="0.25">
      <c r="A120">
        <v>120</v>
      </c>
      <c r="B120" t="s">
        <v>5</v>
      </c>
      <c r="C120" t="s">
        <v>425</v>
      </c>
      <c r="D120" t="s">
        <v>426</v>
      </c>
      <c r="E120" t="s">
        <v>427</v>
      </c>
      <c r="F120" t="s">
        <v>428</v>
      </c>
      <c r="G120" t="s">
        <v>429</v>
      </c>
      <c r="U120">
        <f>IF(ISNUMBER(SEARCH($D$969,$V$2:$V$500)),MAX($U$1:U119)+1,0)</f>
        <v>119</v>
      </c>
      <c r="V120" t="s">
        <v>5</v>
      </c>
      <c r="W120" t="str">
        <f>IFERROR(VLOOKUP(ROWS($W$2:W120),$U$2:$V$500,2,0),"")</f>
        <v>UpdateXMLMultiNodes</v>
      </c>
    </row>
    <row r="121" spans="1:23" x14ac:dyDescent="0.25">
      <c r="A121">
        <v>121</v>
      </c>
      <c r="B121" t="s">
        <v>124</v>
      </c>
      <c r="C121" t="s">
        <v>319</v>
      </c>
      <c r="D121" t="s">
        <v>430</v>
      </c>
      <c r="E121" t="s">
        <v>431</v>
      </c>
      <c r="F121" t="s">
        <v>432</v>
      </c>
      <c r="U121">
        <f>IF(ISNUMBER(SEARCH($D$969,$V$2:$V$500)),MAX($U$1:U120)+1,0)</f>
        <v>120</v>
      </c>
      <c r="V121" t="s">
        <v>124</v>
      </c>
      <c r="W121" t="str">
        <f>IFERROR(VLOOKUP(ROWS($W$2:W121),$U$2:$V$500,2,0),"")</f>
        <v>UpdateXMLSingleNode</v>
      </c>
    </row>
    <row r="122" spans="1:23" x14ac:dyDescent="0.25">
      <c r="A122">
        <v>122</v>
      </c>
      <c r="B122" t="s">
        <v>125</v>
      </c>
      <c r="C122" t="s">
        <v>319</v>
      </c>
      <c r="D122" t="s">
        <v>430</v>
      </c>
      <c r="E122" t="s">
        <v>431</v>
      </c>
      <c r="F122" t="s">
        <v>432</v>
      </c>
      <c r="U122">
        <f>IF(ISNUMBER(SEARCH($D$969,$V$2:$V$500)),MAX($U$1:U121)+1,0)</f>
        <v>121</v>
      </c>
      <c r="V122" t="s">
        <v>125</v>
      </c>
      <c r="W122" t="str">
        <f>IFERROR(VLOOKUP(ROWS($W$2:W122),$U$2:$V$500,2,0),"")</f>
        <v>UpdateXMLSingleNodeWithXMLValue</v>
      </c>
    </row>
    <row r="123" spans="1:23" x14ac:dyDescent="0.25">
      <c r="A123">
        <v>123</v>
      </c>
      <c r="B123" t="s">
        <v>126</v>
      </c>
      <c r="C123" t="s">
        <v>398</v>
      </c>
      <c r="D123" t="s">
        <v>353</v>
      </c>
      <c r="E123" t="s">
        <v>433</v>
      </c>
      <c r="U123">
        <f>IF(ISNUMBER(SEARCH($D$969,$V$2:$V$500)),MAX($U$1:U122)+1,0)</f>
        <v>122</v>
      </c>
      <c r="V123" t="s">
        <v>126</v>
      </c>
      <c r="W123" t="str">
        <f>IFERROR(VLOOKUP(ROWS($W$2:W123),$U$2:$V$500,2,0),"")</f>
        <v>ValidateDBColumn</v>
      </c>
    </row>
    <row r="124" spans="1:23" x14ac:dyDescent="0.25">
      <c r="A124">
        <v>124</v>
      </c>
      <c r="B124" t="s">
        <v>127</v>
      </c>
      <c r="C124" t="s">
        <v>434</v>
      </c>
      <c r="D124" t="s">
        <v>435</v>
      </c>
      <c r="E124" t="s">
        <v>436</v>
      </c>
      <c r="F124" t="s">
        <v>437</v>
      </c>
      <c r="U124">
        <f>IF(ISNUMBER(SEARCH($D$969,$V$2:$V$500)),MAX($U$1:U123)+1,0)</f>
        <v>123</v>
      </c>
      <c r="V124" t="s">
        <v>127</v>
      </c>
      <c r="W124" t="str">
        <f>IFERROR(VLOOKUP(ROWS($W$2:W124),$U$2:$V$500,2,0),"")</f>
        <v>ValidateDBTable</v>
      </c>
    </row>
    <row r="125" spans="1:23" x14ac:dyDescent="0.25">
      <c r="A125">
        <v>125</v>
      </c>
      <c r="B125" t="s">
        <v>574</v>
      </c>
      <c r="C125" t="s">
        <v>438</v>
      </c>
      <c r="D125" t="s">
        <v>439</v>
      </c>
      <c r="U125">
        <f>IF(ISNUMBER(SEARCH($D$969,$V$2:$V$500)),MAX($U$1:U124)+1,0)</f>
        <v>124</v>
      </c>
      <c r="V125" t="s">
        <v>574</v>
      </c>
      <c r="W125" t="str">
        <f>IFERROR(VLOOKUP(ROWS($W$2:W125),$U$2:$V$500,2,0),"")</f>
        <v>ValidateLinuxLogFile</v>
      </c>
    </row>
    <row r="126" spans="1:23" x14ac:dyDescent="0.25">
      <c r="A126">
        <v>126</v>
      </c>
      <c r="B126" t="s">
        <v>575</v>
      </c>
      <c r="C126" t="s">
        <v>440</v>
      </c>
      <c r="D126" t="s">
        <v>364</v>
      </c>
      <c r="U126">
        <f>IF(ISNUMBER(SEARCH($D$969,$V$2:$V$500)),MAX($U$1:U125)+1,0)</f>
        <v>125</v>
      </c>
      <c r="V126" t="s">
        <v>575</v>
      </c>
      <c r="W126" t="str">
        <f>IFERROR(VLOOKUP(ROWS($W$2:W126),$U$2:$V$500,2,0),"")</f>
        <v>VALIDATELINUXOUTPUTDATA</v>
      </c>
    </row>
    <row r="127" spans="1:23" x14ac:dyDescent="0.25">
      <c r="A127">
        <v>127</v>
      </c>
      <c r="B127" t="s">
        <v>576</v>
      </c>
      <c r="C127" t="s">
        <v>364</v>
      </c>
      <c r="D127" t="s">
        <v>441</v>
      </c>
      <c r="E127" t="s">
        <v>442</v>
      </c>
      <c r="F127" t="s">
        <v>319</v>
      </c>
      <c r="U127">
        <f>IF(ISNUMBER(SEARCH($D$969,$V$2:$V$500)),MAX($U$1:U126)+1,0)</f>
        <v>126</v>
      </c>
      <c r="V127" t="s">
        <v>576</v>
      </c>
      <c r="W127" t="str">
        <f>IFERROR(VLOOKUP(ROWS($W$2:W127),$U$2:$V$500,2,0),"")</f>
        <v>VALIDATELINUXOUTPUTXML</v>
      </c>
    </row>
    <row r="128" spans="1:23" x14ac:dyDescent="0.25">
      <c r="A128">
        <v>128</v>
      </c>
      <c r="B128" t="s">
        <v>128</v>
      </c>
      <c r="C128" t="s">
        <v>443</v>
      </c>
      <c r="D128" t="s">
        <v>444</v>
      </c>
      <c r="E128" t="s">
        <v>320</v>
      </c>
      <c r="U128">
        <f>IF(ISNUMBER(SEARCH($D$969,$V$2:$V$500)),MAX($U$1:U127)+1,0)</f>
        <v>127</v>
      </c>
      <c r="V128" t="s">
        <v>128</v>
      </c>
      <c r="W128" t="str">
        <f>IFERROR(VLOOKUP(ROWS($W$2:W128),$U$2:$V$500,2,0),"")</f>
        <v>ValidateOnlyString</v>
      </c>
    </row>
    <row r="129" spans="1:23" x14ac:dyDescent="0.25">
      <c r="A129">
        <v>129</v>
      </c>
      <c r="B129" t="s">
        <v>129</v>
      </c>
      <c r="C129" t="s">
        <v>384</v>
      </c>
      <c r="D129" t="s">
        <v>445</v>
      </c>
      <c r="E129" t="s">
        <v>446</v>
      </c>
      <c r="F129" t="s">
        <v>447</v>
      </c>
      <c r="G129" t="s">
        <v>448</v>
      </c>
      <c r="U129">
        <f>IF(ISNUMBER(SEARCH($D$969,$V$2:$V$500)),MAX($U$1:U128)+1,0)</f>
        <v>128</v>
      </c>
      <c r="V129" t="s">
        <v>129</v>
      </c>
      <c r="W129" t="str">
        <f>IFERROR(VLOOKUP(ROWS($W$2:W129),$U$2:$V$500,2,0),"")</f>
        <v>ValidateReportBytes</v>
      </c>
    </row>
    <row r="130" spans="1:23" x14ac:dyDescent="0.25">
      <c r="A130">
        <v>130</v>
      </c>
      <c r="B130" t="s">
        <v>130</v>
      </c>
      <c r="C130" t="s">
        <v>449</v>
      </c>
      <c r="D130" t="s">
        <v>450</v>
      </c>
      <c r="E130" t="s">
        <v>451</v>
      </c>
      <c r="U130">
        <f>IF(ISNUMBER(SEARCH($D$969,$V$2:$V$500)),MAX($U$1:U129)+1,0)</f>
        <v>129</v>
      </c>
      <c r="V130" t="s">
        <v>130</v>
      </c>
      <c r="W130" t="str">
        <f>IFERROR(VLOOKUP(ROWS($W$2:W130),$U$2:$V$500,2,0),"")</f>
        <v>ValidateSortdate</v>
      </c>
    </row>
    <row r="131" spans="1:23" x14ac:dyDescent="0.25">
      <c r="A131">
        <v>131</v>
      </c>
      <c r="B131" t="s">
        <v>131</v>
      </c>
      <c r="C131" t="s">
        <v>452</v>
      </c>
      <c r="D131" t="s">
        <v>453</v>
      </c>
      <c r="E131" t="s">
        <v>454</v>
      </c>
      <c r="U131">
        <f>IF(ISNUMBER(SEARCH($D$969,$V$2:$V$500)),MAX($U$1:U130)+1,0)</f>
        <v>130</v>
      </c>
      <c r="V131" t="s">
        <v>131</v>
      </c>
      <c r="W131" t="str">
        <f>IFERROR(VLOOKUP(ROWS($W$2:W131),$U$2:$V$500,2,0),"")</f>
        <v>ValidateSortSequence</v>
      </c>
    </row>
    <row r="132" spans="1:23" x14ac:dyDescent="0.25">
      <c r="A132">
        <v>132</v>
      </c>
      <c r="B132" t="s">
        <v>108</v>
      </c>
      <c r="C132" t="s">
        <v>319</v>
      </c>
      <c r="D132" t="s">
        <v>320</v>
      </c>
      <c r="U132">
        <f>IF(ISNUMBER(SEARCH($D$969,$V$2:$V$500)),MAX($U$1:U131)+1,0)</f>
        <v>131</v>
      </c>
      <c r="V132" t="s">
        <v>108</v>
      </c>
      <c r="W132" t="str">
        <f>IFERROR(VLOOKUP(ROWS($W$2:W132),$U$2:$V$500,2,0),"")</f>
        <v>ValidateSwiftMsg</v>
      </c>
    </row>
    <row r="133" spans="1:23" x14ac:dyDescent="0.25">
      <c r="A133">
        <v>133</v>
      </c>
      <c r="B133" t="s">
        <v>132</v>
      </c>
      <c r="C133" t="s">
        <v>319</v>
      </c>
      <c r="D133" t="s">
        <v>455</v>
      </c>
      <c r="E133" t="s">
        <v>456</v>
      </c>
      <c r="U133">
        <f>IF(ISNUMBER(SEARCH($D$969,$V$2:$V$500)),MAX($U$1:U132)+1,0)</f>
        <v>132</v>
      </c>
      <c r="V133" t="s">
        <v>132</v>
      </c>
      <c r="W133" t="str">
        <f>IFERROR(VLOOKUP(ROWS($W$2:W133),$U$2:$V$500,2,0),"")</f>
        <v>ValidateXML</v>
      </c>
    </row>
    <row r="134" spans="1:23" x14ac:dyDescent="0.25">
      <c r="A134">
        <v>134</v>
      </c>
      <c r="B134" t="s">
        <v>577</v>
      </c>
      <c r="C134" t="s">
        <v>319</v>
      </c>
      <c r="U134">
        <f>IF(ISNUMBER(SEARCH($D$969,$V$2:$V$500)),MAX($U$1:U133)+1,0)</f>
        <v>133</v>
      </c>
      <c r="V134" t="s">
        <v>577</v>
      </c>
      <c r="W134" t="str">
        <f>IFERROR(VLOOKUP(ROWS($W$2:W134),$U$2:$V$500,2,0),"")</f>
        <v>VALIDATEXMLCHARACTER</v>
      </c>
    </row>
    <row r="135" spans="1:23" x14ac:dyDescent="0.25">
      <c r="A135">
        <v>135</v>
      </c>
      <c r="B135" t="s">
        <v>133</v>
      </c>
      <c r="C135" t="s">
        <v>457</v>
      </c>
      <c r="U135">
        <f>IF(ISNUMBER(SEARCH($D$969,$V$2:$V$500)),MAX($U$1:U134)+1,0)</f>
        <v>134</v>
      </c>
      <c r="V135" t="s">
        <v>133</v>
      </c>
      <c r="W135" t="str">
        <f>IFERROR(VLOOKUP(ROWS($W$2:W135),$U$2:$V$500,2,0),"")</f>
        <v>VerifyDifferenceFile</v>
      </c>
    </row>
    <row r="136" spans="1:23" x14ac:dyDescent="0.25">
      <c r="A136">
        <v>136</v>
      </c>
      <c r="B136" t="s">
        <v>134</v>
      </c>
      <c r="C136" t="s">
        <v>405</v>
      </c>
      <c r="D136" t="s">
        <v>458</v>
      </c>
      <c r="E136" t="s">
        <v>459</v>
      </c>
      <c r="F136" t="s">
        <v>460</v>
      </c>
      <c r="G136" t="s">
        <v>431</v>
      </c>
      <c r="U136">
        <f>IF(ISNUMBER(SEARCH($D$969,$V$2:$V$500)),MAX($U$1:U135)+1,0)</f>
        <v>135</v>
      </c>
      <c r="V136" t="s">
        <v>134</v>
      </c>
      <c r="W136" t="str">
        <f>IFERROR(VLOOKUP(ROWS($W$2:W136),$U$2:$V$500,2,0),"")</f>
        <v>VerifyResponseOutputIPMGun</v>
      </c>
    </row>
    <row r="137" spans="1:23" x14ac:dyDescent="0.25">
      <c r="A137">
        <v>137</v>
      </c>
      <c r="B137" t="s">
        <v>135</v>
      </c>
      <c r="C137" t="s">
        <v>461</v>
      </c>
      <c r="D137" t="s">
        <v>462</v>
      </c>
      <c r="E137" t="s">
        <v>463</v>
      </c>
      <c r="F137" t="s">
        <v>464</v>
      </c>
      <c r="U137">
        <f>IF(ISNUMBER(SEARCH($D$969,$V$2:$V$500)),MAX($U$1:U136)+1,0)</f>
        <v>136</v>
      </c>
      <c r="V137" t="s">
        <v>135</v>
      </c>
      <c r="W137" t="str">
        <f>IFERROR(VLOOKUP(ROWS($W$2:W137),$U$2:$V$500,2,0),"")</f>
        <v>VerifyTextFile</v>
      </c>
    </row>
    <row r="138" spans="1:23" x14ac:dyDescent="0.25">
      <c r="A138">
        <v>138</v>
      </c>
      <c r="B138" t="s">
        <v>578</v>
      </c>
      <c r="U138">
        <f>IF(ISNUMBER(SEARCH($D$969,$V$2:$V$500)),MAX($U$1:U137)+1,0)</f>
        <v>137</v>
      </c>
      <c r="V138" t="s">
        <v>578</v>
      </c>
      <c r="W138" t="str">
        <f>IFERROR(VLOOKUP(ROWS($W$2:W138),$U$2:$V$500,2,0),"")</f>
        <v>VSI_SubmitJob</v>
      </c>
    </row>
    <row r="139" spans="1:23" x14ac:dyDescent="0.25">
      <c r="A139">
        <v>139</v>
      </c>
      <c r="B139" t="s">
        <v>579</v>
      </c>
      <c r="U139">
        <f>IF(ISNUMBER(SEARCH($D$969,$V$2:$V$500)),MAX($U$1:U138)+1,0)</f>
        <v>138</v>
      </c>
      <c r="V139" t="s">
        <v>579</v>
      </c>
      <c r="W139" t="str">
        <f>IFERROR(VLOOKUP(ROWS($W$2:W139),$U$2:$V$500,2,0),"")</f>
        <v>VSI_UpdateARIdate</v>
      </c>
    </row>
    <row r="832" spans="1:26" s="5" customFormat="1" x14ac:dyDescent="0.25">
      <c r="A832"/>
      <c r="B832"/>
      <c r="C832"/>
      <c r="D832"/>
      <c r="E832"/>
      <c r="F832"/>
      <c r="G832"/>
      <c r="H832"/>
      <c r="I832"/>
      <c r="J832"/>
      <c r="K832"/>
      <c r="L832"/>
      <c r="M832"/>
      <c r="N832"/>
      <c r="O832"/>
      <c r="P832"/>
      <c r="Q832"/>
      <c r="R832"/>
      <c r="S832"/>
      <c r="T832"/>
      <c r="U832"/>
      <c r="V832"/>
      <c r="W832"/>
      <c r="X832"/>
      <c r="Y832"/>
      <c r="Z832"/>
    </row>
    <row r="833" spans="1:26" s="4" customFormat="1" x14ac:dyDescent="0.25">
      <c r="A833"/>
      <c r="B833"/>
      <c r="C833"/>
      <c r="D833"/>
      <c r="E833"/>
      <c r="F833"/>
      <c r="G833"/>
      <c r="H833"/>
      <c r="I833"/>
      <c r="J833"/>
      <c r="K833"/>
      <c r="L833"/>
      <c r="M833"/>
      <c r="N833"/>
      <c r="O833"/>
      <c r="P833"/>
      <c r="Q833"/>
      <c r="R833"/>
      <c r="S833"/>
      <c r="T833"/>
      <c r="U833"/>
      <c r="V833"/>
      <c r="W833"/>
      <c r="X833"/>
      <c r="Y833"/>
      <c r="Z833"/>
    </row>
    <row r="834" spans="1:26" s="4" customFormat="1" x14ac:dyDescent="0.25">
      <c r="A834"/>
      <c r="B834"/>
      <c r="C834"/>
      <c r="D834"/>
      <c r="E834"/>
      <c r="F834"/>
      <c r="G834"/>
      <c r="H834"/>
      <c r="I834"/>
      <c r="J834"/>
      <c r="K834"/>
      <c r="L834"/>
      <c r="M834"/>
      <c r="N834"/>
      <c r="O834"/>
      <c r="P834"/>
      <c r="Q834"/>
      <c r="R834"/>
      <c r="S834"/>
      <c r="T834"/>
      <c r="U834"/>
      <c r="V834"/>
      <c r="W834"/>
      <c r="X834"/>
      <c r="Y834"/>
      <c r="Z834"/>
    </row>
    <row r="835" spans="1:26" s="4" customFormat="1" x14ac:dyDescent="0.25">
      <c r="A835"/>
      <c r="B835"/>
      <c r="C835"/>
      <c r="D835"/>
      <c r="E835"/>
      <c r="F835"/>
      <c r="G835"/>
      <c r="H835"/>
      <c r="I835"/>
      <c r="J835"/>
      <c r="K835"/>
      <c r="L835"/>
      <c r="M835"/>
      <c r="N835"/>
      <c r="O835"/>
      <c r="P835"/>
      <c r="Q835"/>
      <c r="R835"/>
      <c r="S835"/>
      <c r="T835"/>
      <c r="U835"/>
      <c r="V835"/>
      <c r="W835"/>
      <c r="X835"/>
      <c r="Y835"/>
      <c r="Z835"/>
    </row>
    <row r="836" spans="1:26" s="4" customFormat="1" x14ac:dyDescent="0.25">
      <c r="A836"/>
      <c r="B836"/>
      <c r="C836"/>
      <c r="D836"/>
      <c r="E836"/>
      <c r="F836"/>
      <c r="G836"/>
      <c r="H836"/>
      <c r="I836"/>
      <c r="J836"/>
      <c r="K836"/>
      <c r="L836"/>
      <c r="M836"/>
      <c r="N836"/>
      <c r="O836"/>
      <c r="P836"/>
      <c r="Q836"/>
      <c r="R836"/>
      <c r="S836"/>
      <c r="T836"/>
      <c r="U836"/>
      <c r="V836"/>
      <c r="W836"/>
      <c r="X836"/>
      <c r="Y836"/>
      <c r="Z836"/>
    </row>
    <row r="837" spans="1:26" s="4" customFormat="1" x14ac:dyDescent="0.25">
      <c r="A837"/>
      <c r="B837"/>
      <c r="C837"/>
      <c r="D837"/>
      <c r="E837"/>
      <c r="F837"/>
      <c r="G837"/>
      <c r="H837"/>
      <c r="I837"/>
      <c r="J837"/>
      <c r="K837"/>
      <c r="L837"/>
      <c r="M837"/>
      <c r="N837"/>
      <c r="O837"/>
      <c r="P837"/>
      <c r="Q837"/>
      <c r="R837"/>
      <c r="S837"/>
      <c r="T837"/>
      <c r="U837"/>
      <c r="V837"/>
      <c r="W837"/>
      <c r="X837"/>
      <c r="Y837"/>
      <c r="Z837"/>
    </row>
    <row r="968" spans="1:22" x14ac:dyDescent="0.25">
      <c r="A968" s="6" t="s">
        <v>509</v>
      </c>
      <c r="B968" s="6" t="s">
        <v>505</v>
      </c>
      <c r="C968" s="6" t="s">
        <v>552</v>
      </c>
      <c r="D968" s="6" t="s">
        <v>510</v>
      </c>
      <c r="E968" s="6" t="s">
        <v>511</v>
      </c>
      <c r="F968" s="6" t="s">
        <v>512</v>
      </c>
      <c r="G968" s="6" t="s">
        <v>513</v>
      </c>
      <c r="H968" s="6" t="s">
        <v>514</v>
      </c>
      <c r="I968" s="6" t="s">
        <v>515</v>
      </c>
      <c r="J968" s="6" t="s">
        <v>516</v>
      </c>
      <c r="K968" s="6" t="s">
        <v>517</v>
      </c>
      <c r="L968" s="6" t="s">
        <v>518</v>
      </c>
      <c r="M968" s="6" t="s">
        <v>519</v>
      </c>
      <c r="N968" s="6" t="s">
        <v>520</v>
      </c>
      <c r="O968" s="6" t="s">
        <v>521</v>
      </c>
      <c r="P968" s="6" t="s">
        <v>522</v>
      </c>
      <c r="Q968" s="6" t="s">
        <v>523</v>
      </c>
      <c r="R968" s="6" t="s">
        <v>524</v>
      </c>
      <c r="S968" s="6" t="s">
        <v>525</v>
      </c>
      <c r="T968" s="6" t="s">
        <v>526</v>
      </c>
      <c r="U968" s="6" t="s">
        <v>527</v>
      </c>
      <c r="V968" s="6" t="s">
        <v>528</v>
      </c>
    </row>
    <row r="969" spans="1:22" x14ac:dyDescent="0.25">
      <c r="A969" s="3">
        <v>1</v>
      </c>
      <c r="B969" s="8" t="s">
        <v>1</v>
      </c>
      <c r="C969" s="12"/>
      <c r="D969" s="16"/>
      <c r="E969" s="11" t="str">
        <f>IFERROR(IF(VLOOKUP($D969,DoNotTouch!$B:$Y,2,FALSE)&lt;&gt;0,(VLOOKUP($D969,DoNotTouch!$B:$Y,2,FALSE)),""),"")</f>
        <v/>
      </c>
      <c r="F969" s="11" t="str">
        <f>IFERROR(IF(VLOOKUP($D969,DoNotTouch!$B:$Y,3,FALSE)&lt;&gt;0,(VLOOKUP($D969,DoNotTouch!$B:$Y,3,FALSE)),""),"")</f>
        <v/>
      </c>
      <c r="G969" s="11" t="str">
        <f>IFERROR(IF(VLOOKUP($D969,DoNotTouch!$B:$Y,4,FALSE)&lt;&gt;0,(VLOOKUP($D969,DoNotTouch!$B:$Y,4,FALSE)),""),"")</f>
        <v/>
      </c>
      <c r="H969" s="11" t="str">
        <f>IFERROR(IF(VLOOKUP($D969,DoNotTouch!$B:$Y,5,FALSE)&lt;&gt;0,(VLOOKUP($D969,DoNotTouch!$B:$Y,5,FALSE)),""),"")</f>
        <v/>
      </c>
      <c r="I969" s="11" t="str">
        <f>IFERROR(IF(VLOOKUP($D969,DoNotTouch!$B:$Y,6,FALSE)&lt;&gt;0,(VLOOKUP($D969,DoNotTouch!$B:$Y,6,FALSE)),""),"")</f>
        <v/>
      </c>
      <c r="J969" s="11" t="str">
        <f>IFERROR(IF(VLOOKUP($D969,DoNotTouch!$B:$Y,7,FALSE)&lt;&gt;0,(VLOOKUP($D969,DoNotTouch!$B:$Y,7,FALSE)),""),"")</f>
        <v/>
      </c>
      <c r="K969" s="11" t="str">
        <f>IFERROR(IF(VLOOKUP($D969,DoNotTouch!$B:$Y,8,FALSE)&lt;&gt;0,(VLOOKUP($D969,DoNotTouch!$B:$Y,8,FALSE)),""),"")</f>
        <v/>
      </c>
      <c r="L969" s="11" t="str">
        <f>IFERROR(IF(VLOOKUP($D969,DoNotTouch!$B:$Y,9,FALSE)&lt;&gt;0,(VLOOKUP($D969,DoNotTouch!$B:$Y,9,FALSE)),""),"")</f>
        <v/>
      </c>
      <c r="M969" s="11" t="str">
        <f>IFERROR(IF(VLOOKUP($D969,DoNotTouch!$B:$Y,10,FALSE)&lt;&gt;0,(VLOOKUP($D969,DoNotTouch!$B:$Y,10,FALSE)),""),"")</f>
        <v/>
      </c>
      <c r="N969" s="11" t="str">
        <f>IFERROR(IF(VLOOKUP($D969,DoNotTouch!$B:$Y,11,FALSE)&lt;&gt;0,(VLOOKUP($D969,DoNotTouch!$B:$Y,11,FALSE)),""),"")</f>
        <v/>
      </c>
      <c r="O969" s="11" t="str">
        <f>IFERROR(IF(VLOOKUP($D969,DoNotTouch!$B:$Y,12,FALSE)&lt;&gt;0,(VLOOKUP($D969,DoNotTouch!$B:$Y,12,FALSE)),""),"")</f>
        <v/>
      </c>
      <c r="P969" s="11" t="str">
        <f>IFERROR(IF(VLOOKUP($D969,DoNotTouch!$B:$Y,13,FALSE)&lt;&gt;0,(VLOOKUP($D969,DoNotTouch!$B:$Y,13,FALSE)),""),"")</f>
        <v/>
      </c>
      <c r="Q969" s="11" t="str">
        <f>IFERROR(IF(VLOOKUP($D969,DoNotTouch!$B:$Y,14,FALSE)&lt;&gt;0,(VLOOKUP($D969,DoNotTouch!$B:$Y,14,FALSE)),""),"")</f>
        <v/>
      </c>
      <c r="R969" s="11" t="str">
        <f>IFERROR(IF(VLOOKUP($D969,DoNotTouch!$B:$Y,15,FALSE)&lt;&gt;0,(VLOOKUP($D969,DoNotTouch!$B:$Y,15,FALSE)),""),"")</f>
        <v/>
      </c>
      <c r="S969" s="11" t="str">
        <f>IFERROR(IF(VLOOKUP($D969,DoNotTouch!$B:$Y,16,FALSE)&lt;&gt;0,(VLOOKUP($D969,DoNotTouch!$B:$Y,16,FALSE)),""),"")</f>
        <v/>
      </c>
      <c r="T969" s="11" t="str">
        <f>IFERROR(IF(VLOOKUP($D969,DoNotTouch!$B:$Y,17,FALSE)&lt;&gt;0,(VLOOKUP($D969,DoNotTouch!$B:$Y,17,FALSE)),""),"")</f>
        <v/>
      </c>
      <c r="U969" s="11" t="str">
        <f>IFERROR(IF(VLOOKUP($D969,DoNotTouch!$B:$Y,18,FALSE)&lt;&gt;0,(VLOOKUP($D969,DoNotTouch!$B:$Y,18,FALSE)),""),"")</f>
        <v/>
      </c>
      <c r="V969" s="8" t="str">
        <f>IFERROR(IF(VLOOKUP($D969,DoNotTouch!$B:$Y,19,FALSE)&lt;&gt;0,(VLOOKUP($D969,DoNotTouch!$B:$Y,19,FALSE)),""),"")</f>
        <v/>
      </c>
    </row>
    <row r="970" spans="1:22" x14ac:dyDescent="0.25">
      <c r="A970" s="3">
        <v>2</v>
      </c>
      <c r="B970" s="9" t="s">
        <v>1</v>
      </c>
      <c r="C970" s="12" t="s">
        <v>553</v>
      </c>
      <c r="D970" s="16" t="s">
        <v>7</v>
      </c>
      <c r="E970" s="11" t="str">
        <f>IFERROR(IF(VLOOKUP($D970,DoNotTouch!$B:$Y,2,FALSE)&lt;&gt;0,(VLOOKUP($D970,DoNotTouch!$B:$Y,2,FALSE)),""),"")</f>
        <v>MI: Expected Row Count</v>
      </c>
      <c r="F970" s="11" t="str">
        <f>IFERROR(IF(VLOOKUP($D970,DoNotTouch!$B:$Y,3,FALSE)&lt;&gt;0,(VLOOKUP($D970,DoNotTouch!$B:$Y,3,FALSE)),""),"")</f>
        <v>MI: Instruction Id</v>
      </c>
      <c r="G970" s="11" t="str">
        <f>IFERROR(IF(VLOOKUP($D970,DoNotTouch!$B:$Y,4,FALSE)&lt;&gt;0,(VLOOKUP($D970,DoNotTouch!$B:$Y,4,FALSE)),""),"")</f>
        <v>MI: Interchange ID</v>
      </c>
      <c r="H970" s="11" t="str">
        <f>IFERROR(IF(VLOOKUP($D970,DoNotTouch!$B:$Y,5,FALSE)&lt;&gt;0,(VLOOKUP($D970,DoNotTouch!$B:$Y,5,FALSE)),""),"")</f>
        <v>MI: Instruction Reference</v>
      </c>
      <c r="I970" s="11" t="str">
        <f>IFERROR(IF(VLOOKUP($D970,DoNotTouch!$B:$Y,6,FALSE)&lt;&gt;0,(VLOOKUP($D970,DoNotTouch!$B:$Y,6,FALSE)),""),"")</f>
        <v>MI: Originating Party Account</v>
      </c>
      <c r="J970" s="11" t="str">
        <f>IFERROR(IF(VLOOKUP($D970,DoNotTouch!$B:$Y,7,FALSE)&lt;&gt;0,(VLOOKUP($D970,DoNotTouch!$B:$Y,7,FALSE)),""),"")</f>
        <v>MI: Instruction Type</v>
      </c>
      <c r="K970" s="11" t="str">
        <f>IFERROR(IF(VLOOKUP($D970,DoNotTouch!$B:$Y,8,FALSE)&lt;&gt;0,(VLOOKUP($D970,DoNotTouch!$B:$Y,8,FALSE)),""),"")</f>
        <v>MI: Classification</v>
      </c>
      <c r="L970" s="11" t="str">
        <f>IFERROR(IF(VLOOKUP($D970,DoNotTouch!$B:$Y,9,FALSE)&lt;&gt;0,(VLOOKUP($D970,DoNotTouch!$B:$Y,9,FALSE)),""),"")</f>
        <v>MI: Direction</v>
      </c>
      <c r="M970" s="11" t="str">
        <f>IFERROR(IF(VLOOKUP($D970,DoNotTouch!$B:$Y,10,FALSE)&lt;&gt;0,(VLOOKUP($D970,DoNotTouch!$B:$Y,10,FALSE)),""),"")</f>
        <v>MI: Bank</v>
      </c>
      <c r="N970" s="11" t="str">
        <f>IFERROR(IF(VLOOKUP($D970,DoNotTouch!$B:$Y,11,FALSE)&lt;&gt;0,(VLOOKUP($D970,DoNotTouch!$B:$Y,11,FALSE)),""),"")</f>
        <v>MI: Status</v>
      </c>
      <c r="O970" s="11" t="str">
        <f>IFERROR(IF(VLOOKUP($D970,DoNotTouch!$B:$Y,12,FALSE)&lt;&gt;0,(VLOOKUP($D970,DoNotTouch!$B:$Y,12,FALSE)),""),"")</f>
        <v>OI: TransportDateFrom</v>
      </c>
      <c r="P970" s="11" t="str">
        <f>IFERROR(IF(VLOOKUP($D970,DoNotTouch!$B:$Y,13,FALSE)&lt;&gt;0,(VLOOKUP($D970,DoNotTouch!$B:$Y,13,FALSE)),""),"")</f>
        <v>OI: TransportDateTo</v>
      </c>
      <c r="Q970" s="11" t="str">
        <f>IFERROR(IF(VLOOKUP($D970,DoNotTouch!$B:$Y,14,FALSE)&lt;&gt;0,(VLOOKUP($D970,DoNotTouch!$B:$Y,14,FALSE)),""),"")</f>
        <v>OI: TransportTimeFrom</v>
      </c>
      <c r="R970" s="11" t="str">
        <f>IFERROR(IF(VLOOKUP($D970,DoNotTouch!$B:$Y,15,FALSE)&lt;&gt;0,(VLOOKUP($D970,DoNotTouch!$B:$Y,15,FALSE)),""),"")</f>
        <v>OI: TransportTimeTo</v>
      </c>
      <c r="S970" s="11" t="str">
        <f>IFERROR(IF(VLOOKUP($D970,DoNotTouch!$B:$Y,16,FALSE)&lt;&gt;0,(VLOOKUP($D970,DoNotTouch!$B:$Y,16,FALSE)),""),"")</f>
        <v>OI: SettlementDateFrom</v>
      </c>
      <c r="T970" s="11" t="str">
        <f>IFERROR(IF(VLOOKUP($D970,DoNotTouch!$B:$Y,17,FALSE)&lt;&gt;0,(VLOOKUP($D970,DoNotTouch!$B:$Y,17,FALSE)),""),"")</f>
        <v>OI: SettlementDateFrom</v>
      </c>
      <c r="U970" s="11" t="str">
        <f>IFERROR(IF(VLOOKUP($D970,DoNotTouch!$B:$Y,18,FALSE)&lt;&gt;0,(VLOOKUP($D970,DoNotTouch!$B:$Y,18,FALSE)),""),"")</f>
        <v/>
      </c>
      <c r="V970" s="8" t="str">
        <f>IFERROR(IF(VLOOKUP($D970,DoNotTouch!$B:$Y,19,FALSE)&lt;&gt;0,(VLOOKUP($D970,DoNotTouch!$B:$Y,19,FALSE)),""),"")</f>
        <v/>
      </c>
    </row>
    <row r="971" spans="1:22" x14ac:dyDescent="0.25">
      <c r="A971" s="3">
        <v>3</v>
      </c>
      <c r="B971" s="9" t="s">
        <v>1</v>
      </c>
      <c r="C971" s="12" t="s">
        <v>484</v>
      </c>
      <c r="D971" s="16" t="s">
        <v>49</v>
      </c>
      <c r="E971" s="11" t="str">
        <f>IFERROR(IF(VLOOKUP($D971,DoNotTouch!$B:$Y,2,FALSE)&lt;&gt;0,(VLOOKUP($D971,DoNotTouch!$B:$Y,2,FALSE)),""),"")</f>
        <v>MO: Interchange ID</v>
      </c>
      <c r="F971" s="11" t="str">
        <f>IFERROR(IF(VLOOKUP($D971,DoNotTouch!$B:$Y,3,FALSE)&lt;&gt;0,(VLOOKUP($D971,DoNotTouch!$B:$Y,3,FALSE)),""),"")</f>
        <v>MO: Instruction ID</v>
      </c>
      <c r="G971" s="11" t="str">
        <f>IFERROR(IF(VLOOKUP($D971,DoNotTouch!$B:$Y,4,FALSE)&lt;&gt;0,(VLOOKUP($D971,DoNotTouch!$B:$Y,4,FALSE)),""),"")</f>
        <v>MO: Transaction ID</v>
      </c>
      <c r="H971" s="11" t="str">
        <f>IFERROR(IF(VLOOKUP($D971,DoNotTouch!$B:$Y,5,FALSE)&lt;&gt;0,(VLOOKUP($D971,DoNotTouch!$B:$Y,5,FALSE)),""),"")</f>
        <v/>
      </c>
      <c r="I971" s="11" t="str">
        <f>IFERROR(IF(VLOOKUP($D971,DoNotTouch!$B:$Y,6,FALSE)&lt;&gt;0,(VLOOKUP($D971,DoNotTouch!$B:$Y,6,FALSE)),""),"")</f>
        <v/>
      </c>
      <c r="J971" s="11" t="str">
        <f>IFERROR(IF(VLOOKUP($D971,DoNotTouch!$B:$Y,7,FALSE)&lt;&gt;0,(VLOOKUP($D971,DoNotTouch!$B:$Y,7,FALSE)),""),"")</f>
        <v/>
      </c>
      <c r="K971" s="11" t="str">
        <f>IFERROR(IF(VLOOKUP($D971,DoNotTouch!$B:$Y,8,FALSE)&lt;&gt;0,(VLOOKUP($D971,DoNotTouch!$B:$Y,8,FALSE)),""),"")</f>
        <v/>
      </c>
      <c r="L971" s="11" t="str">
        <f>IFERROR(IF(VLOOKUP($D971,DoNotTouch!$B:$Y,9,FALSE)&lt;&gt;0,(VLOOKUP($D971,DoNotTouch!$B:$Y,9,FALSE)),""),"")</f>
        <v/>
      </c>
      <c r="M971" s="11" t="str">
        <f>IFERROR(IF(VLOOKUP($D971,DoNotTouch!$B:$Y,10,FALSE)&lt;&gt;0,(VLOOKUP($D971,DoNotTouch!$B:$Y,10,FALSE)),""),"")</f>
        <v/>
      </c>
      <c r="N971" s="11" t="str">
        <f>IFERROR(IF(VLOOKUP($D971,DoNotTouch!$B:$Y,11,FALSE)&lt;&gt;0,(VLOOKUP($D971,DoNotTouch!$B:$Y,11,FALSE)),""),"")</f>
        <v/>
      </c>
      <c r="O971" s="11" t="str">
        <f>IFERROR(IF(VLOOKUP($D971,DoNotTouch!$B:$Y,12,FALSE)&lt;&gt;0,(VLOOKUP($D971,DoNotTouch!$B:$Y,12,FALSE)),""),"")</f>
        <v/>
      </c>
      <c r="P971" s="11" t="str">
        <f>IFERROR(IF(VLOOKUP($D971,DoNotTouch!$B:$Y,13,FALSE)&lt;&gt;0,(VLOOKUP($D971,DoNotTouch!$B:$Y,13,FALSE)),""),"")</f>
        <v/>
      </c>
      <c r="Q971" s="11" t="str">
        <f>IFERROR(IF(VLOOKUP($D971,DoNotTouch!$B:$Y,14,FALSE)&lt;&gt;0,(VLOOKUP($D971,DoNotTouch!$B:$Y,14,FALSE)),""),"")</f>
        <v/>
      </c>
      <c r="R971" s="11" t="str">
        <f>IFERROR(IF(VLOOKUP($D971,DoNotTouch!$B:$Y,15,FALSE)&lt;&gt;0,(VLOOKUP($D971,DoNotTouch!$B:$Y,15,FALSE)),""),"")</f>
        <v/>
      </c>
      <c r="S971" s="11" t="str">
        <f>IFERROR(IF(VLOOKUP($D971,DoNotTouch!$B:$Y,16,FALSE)&lt;&gt;0,(VLOOKUP($D971,DoNotTouch!$B:$Y,16,FALSE)),""),"")</f>
        <v/>
      </c>
      <c r="T971" s="11" t="str">
        <f>IFERROR(IF(VLOOKUP($D971,DoNotTouch!$B:$Y,17,FALSE)&lt;&gt;0,(VLOOKUP($D971,DoNotTouch!$B:$Y,17,FALSE)),""),"")</f>
        <v/>
      </c>
      <c r="U971" s="11" t="str">
        <f>IFERROR(IF(VLOOKUP($D971,DoNotTouch!$B:$Y,18,FALSE)&lt;&gt;0,(VLOOKUP($D971,DoNotTouch!$B:$Y,18,FALSE)),""),"")</f>
        <v/>
      </c>
      <c r="V971" s="8" t="str">
        <f>IFERROR(IF(VLOOKUP($D971,DoNotTouch!$B:$Y,19,FALSE)&lt;&gt;0,(VLOOKUP($D971,DoNotTouch!$B:$Y,19,FALSE)),""),"")</f>
        <v/>
      </c>
    </row>
    <row r="972" spans="1:22" x14ac:dyDescent="0.25">
      <c r="A972" s="3">
        <v>4</v>
      </c>
      <c r="B972" s="9" t="s">
        <v>1</v>
      </c>
      <c r="C972" s="12" t="s">
        <v>551</v>
      </c>
      <c r="D972" s="16" t="s">
        <v>62</v>
      </c>
      <c r="E972" s="11" t="str">
        <f>IFERROR(IF(VLOOKUP($D972,DoNotTouch!$B:$Y,2,FALSE)&lt;&gt;0,(VLOOKUP($D972,DoNotTouch!$B:$Y,2,FALSE)),""),"")</f>
        <v>MI: TRANSACTION_APPROVAL</v>
      </c>
      <c r="F972" s="11" t="str">
        <f>IFERROR(IF(VLOOKUP($D972,DoNotTouch!$B:$Y,3,FALSE)&lt;&gt;0,(VLOOKUP($D972,DoNotTouch!$B:$Y,3,FALSE)),""),"")</f>
        <v>MO: APPROVE</v>
      </c>
      <c r="G972" s="11" t="str">
        <f>IFERROR(IF(VLOOKUP($D972,DoNotTouch!$B:$Y,4,FALSE)&lt;&gt;0,(VLOOKUP($D972,DoNotTouch!$B:$Y,4,FALSE)),""),"")</f>
        <v/>
      </c>
      <c r="H972" s="11" t="str">
        <f>IFERROR(IF(VLOOKUP($D972,DoNotTouch!$B:$Y,5,FALSE)&lt;&gt;0,(VLOOKUP($D972,DoNotTouch!$B:$Y,5,FALSE)),""),"")</f>
        <v/>
      </c>
      <c r="I972" s="11" t="str">
        <f>IFERROR(IF(VLOOKUP($D972,DoNotTouch!$B:$Y,6,FALSE)&lt;&gt;0,(VLOOKUP($D972,DoNotTouch!$B:$Y,6,FALSE)),""),"")</f>
        <v/>
      </c>
      <c r="J972" s="11" t="str">
        <f>IFERROR(IF(VLOOKUP($D972,DoNotTouch!$B:$Y,7,FALSE)&lt;&gt;0,(VLOOKUP($D972,DoNotTouch!$B:$Y,7,FALSE)),""),"")</f>
        <v/>
      </c>
      <c r="K972" s="11" t="str">
        <f>IFERROR(IF(VLOOKUP($D972,DoNotTouch!$B:$Y,8,FALSE)&lt;&gt;0,(VLOOKUP($D972,DoNotTouch!$B:$Y,8,FALSE)),""),"")</f>
        <v/>
      </c>
      <c r="L972" s="11" t="str">
        <f>IFERROR(IF(VLOOKUP($D972,DoNotTouch!$B:$Y,9,FALSE)&lt;&gt;0,(VLOOKUP($D972,DoNotTouch!$B:$Y,9,FALSE)),""),"")</f>
        <v/>
      </c>
      <c r="M972" s="11" t="str">
        <f>IFERROR(IF(VLOOKUP($D972,DoNotTouch!$B:$Y,10,FALSE)&lt;&gt;0,(VLOOKUP($D972,DoNotTouch!$B:$Y,10,FALSE)),""),"")</f>
        <v/>
      </c>
      <c r="N972" s="11" t="str">
        <f>IFERROR(IF(VLOOKUP($D972,DoNotTouch!$B:$Y,11,FALSE)&lt;&gt;0,(VLOOKUP($D972,DoNotTouch!$B:$Y,11,FALSE)),""),"")</f>
        <v/>
      </c>
      <c r="O972" s="11" t="str">
        <f>IFERROR(IF(VLOOKUP($D972,DoNotTouch!$B:$Y,12,FALSE)&lt;&gt;0,(VLOOKUP($D972,DoNotTouch!$B:$Y,12,FALSE)),""),"")</f>
        <v/>
      </c>
      <c r="P972" s="11" t="str">
        <f>IFERROR(IF(VLOOKUP($D972,DoNotTouch!$B:$Y,13,FALSE)&lt;&gt;0,(VLOOKUP($D972,DoNotTouch!$B:$Y,13,FALSE)),""),"")</f>
        <v/>
      </c>
      <c r="Q972" s="11" t="str">
        <f>IFERROR(IF(VLOOKUP($D972,DoNotTouch!$B:$Y,14,FALSE)&lt;&gt;0,(VLOOKUP($D972,DoNotTouch!$B:$Y,14,FALSE)),""),"")</f>
        <v/>
      </c>
      <c r="R972" s="11" t="str">
        <f>IFERROR(IF(VLOOKUP($D972,DoNotTouch!$B:$Y,15,FALSE)&lt;&gt;0,(VLOOKUP($D972,DoNotTouch!$B:$Y,15,FALSE)),""),"")</f>
        <v/>
      </c>
      <c r="S972" s="11" t="str">
        <f>IFERROR(IF(VLOOKUP($D972,DoNotTouch!$B:$Y,16,FALSE)&lt;&gt;0,(VLOOKUP($D972,DoNotTouch!$B:$Y,16,FALSE)),""),"")</f>
        <v/>
      </c>
      <c r="T972" s="11" t="str">
        <f>IFERROR(IF(VLOOKUP($D972,DoNotTouch!$B:$Y,17,FALSE)&lt;&gt;0,(VLOOKUP($D972,DoNotTouch!$B:$Y,17,FALSE)),""),"")</f>
        <v/>
      </c>
      <c r="U972" s="11" t="str">
        <f>IFERROR(IF(VLOOKUP($D972,DoNotTouch!$B:$Y,18,FALSE)&lt;&gt;0,(VLOOKUP($D972,DoNotTouch!$B:$Y,18,FALSE)),""),"")</f>
        <v/>
      </c>
      <c r="V972" s="8" t="str">
        <f>IFERROR(IF(VLOOKUP($D972,DoNotTouch!$B:$Y,19,FALSE)&lt;&gt;0,(VLOOKUP($D972,DoNotTouch!$B:$Y,19,FALSE)),""),"")</f>
        <v/>
      </c>
    </row>
    <row r="973" spans="1:22" x14ac:dyDescent="0.25">
      <c r="A973" s="3">
        <v>5</v>
      </c>
      <c r="B973" s="9" t="s">
        <v>1</v>
      </c>
      <c r="C973" s="12"/>
      <c r="D973" s="16" t="s">
        <v>6</v>
      </c>
      <c r="E973" s="11" t="str">
        <f>IFERROR(IF(VLOOKUP($D973,DoNotTouch!$B:$Y,2,FALSE)&lt;&gt;0,(VLOOKUP($D973,DoNotTouch!$B:$Y,2,FALSE)),""),"")</f>
        <v/>
      </c>
      <c r="F973" s="11" t="str">
        <f>IFERROR(IF(VLOOKUP($D973,DoNotTouch!$B:$Y,3,FALSE)&lt;&gt;0,(VLOOKUP($D973,DoNotTouch!$B:$Y,3,FALSE)),""),"")</f>
        <v/>
      </c>
      <c r="G973" s="11" t="str">
        <f>IFERROR(IF(VLOOKUP($D973,DoNotTouch!$B:$Y,4,FALSE)&lt;&gt;0,(VLOOKUP($D973,DoNotTouch!$B:$Y,4,FALSE)),""),"")</f>
        <v/>
      </c>
      <c r="H973" s="11" t="str">
        <f>IFERROR(IF(VLOOKUP($D973,DoNotTouch!$B:$Y,5,FALSE)&lt;&gt;0,(VLOOKUP($D973,DoNotTouch!$B:$Y,5,FALSE)),""),"")</f>
        <v/>
      </c>
      <c r="I973" s="11" t="str">
        <f>IFERROR(IF(VLOOKUP($D973,DoNotTouch!$B:$Y,6,FALSE)&lt;&gt;0,(VLOOKUP($D973,DoNotTouch!$B:$Y,6,FALSE)),""),"")</f>
        <v/>
      </c>
      <c r="J973" s="11" t="str">
        <f>IFERROR(IF(VLOOKUP($D973,DoNotTouch!$B:$Y,7,FALSE)&lt;&gt;0,(VLOOKUP($D973,DoNotTouch!$B:$Y,7,FALSE)),""),"")</f>
        <v/>
      </c>
      <c r="K973" s="11" t="str">
        <f>IFERROR(IF(VLOOKUP($D973,DoNotTouch!$B:$Y,8,FALSE)&lt;&gt;0,(VLOOKUP($D973,DoNotTouch!$B:$Y,8,FALSE)),""),"")</f>
        <v/>
      </c>
      <c r="L973" s="11" t="str">
        <f>IFERROR(IF(VLOOKUP($D973,DoNotTouch!$B:$Y,9,FALSE)&lt;&gt;0,(VLOOKUP($D973,DoNotTouch!$B:$Y,9,FALSE)),""),"")</f>
        <v/>
      </c>
      <c r="M973" s="11" t="str">
        <f>IFERROR(IF(VLOOKUP($D973,DoNotTouch!$B:$Y,10,FALSE)&lt;&gt;0,(VLOOKUP($D973,DoNotTouch!$B:$Y,10,FALSE)),""),"")</f>
        <v/>
      </c>
      <c r="N973" s="11" t="str">
        <f>IFERROR(IF(VLOOKUP($D973,DoNotTouch!$B:$Y,11,FALSE)&lt;&gt;0,(VLOOKUP($D973,DoNotTouch!$B:$Y,11,FALSE)),""),"")</f>
        <v/>
      </c>
      <c r="O973" s="11" t="str">
        <f>IFERROR(IF(VLOOKUP($D973,DoNotTouch!$B:$Y,12,FALSE)&lt;&gt;0,(VLOOKUP($D973,DoNotTouch!$B:$Y,12,FALSE)),""),"")</f>
        <v/>
      </c>
      <c r="P973" s="11" t="str">
        <f>IFERROR(IF(VLOOKUP($D973,DoNotTouch!$B:$Y,13,FALSE)&lt;&gt;0,(VLOOKUP($D973,DoNotTouch!$B:$Y,13,FALSE)),""),"")</f>
        <v/>
      </c>
      <c r="Q973" s="11" t="str">
        <f>IFERROR(IF(VLOOKUP($D973,DoNotTouch!$B:$Y,14,FALSE)&lt;&gt;0,(VLOOKUP($D973,DoNotTouch!$B:$Y,14,FALSE)),""),"")</f>
        <v/>
      </c>
      <c r="R973" s="11" t="str">
        <f>IFERROR(IF(VLOOKUP($D973,DoNotTouch!$B:$Y,15,FALSE)&lt;&gt;0,(VLOOKUP($D973,DoNotTouch!$B:$Y,15,FALSE)),""),"")</f>
        <v/>
      </c>
      <c r="S973" s="11" t="str">
        <f>IFERROR(IF(VLOOKUP($D973,DoNotTouch!$B:$Y,16,FALSE)&lt;&gt;0,(VLOOKUP($D973,DoNotTouch!$B:$Y,16,FALSE)),""),"")</f>
        <v/>
      </c>
      <c r="T973" s="11" t="str">
        <f>IFERROR(IF(VLOOKUP($D973,DoNotTouch!$B:$Y,17,FALSE)&lt;&gt;0,(VLOOKUP($D973,DoNotTouch!$B:$Y,17,FALSE)),""),"")</f>
        <v/>
      </c>
      <c r="U973" s="11" t="str">
        <f>IFERROR(IF(VLOOKUP($D973,DoNotTouch!$B:$Y,18,FALSE)&lt;&gt;0,(VLOOKUP($D973,DoNotTouch!$B:$Y,18,FALSE)),""),"")</f>
        <v/>
      </c>
      <c r="V973" s="8" t="str">
        <f>IFERROR(IF(VLOOKUP($D973,DoNotTouch!$B:$Y,19,FALSE)&lt;&gt;0,(VLOOKUP($D973,DoNotTouch!$B:$Y,19,FALSE)),""),"")</f>
        <v/>
      </c>
    </row>
    <row r="974" spans="1:22" x14ac:dyDescent="0.25">
      <c r="A974" s="14"/>
      <c r="B974" s="14"/>
      <c r="C974" s="14"/>
      <c r="D974" s="14"/>
      <c r="E974" s="14"/>
      <c r="F974" s="14"/>
      <c r="G974" s="14"/>
      <c r="H974" s="14"/>
      <c r="I974" s="14"/>
      <c r="J974" s="14"/>
      <c r="K974" s="14"/>
      <c r="L974" s="14"/>
      <c r="M974" s="14"/>
      <c r="N974" s="14"/>
      <c r="O974" s="14"/>
      <c r="P974" s="14"/>
      <c r="Q974" s="14"/>
      <c r="R974" s="14"/>
      <c r="S974" s="14"/>
      <c r="T974" s="14"/>
      <c r="U974" s="14"/>
      <c r="V974" s="14"/>
    </row>
    <row r="976" spans="1:22" x14ac:dyDescent="0.25">
      <c r="B976" s="16" t="s">
        <v>95</v>
      </c>
    </row>
    <row r="977" spans="2:2" x14ac:dyDescent="0.25">
      <c r="B977" s="16" t="s">
        <v>7</v>
      </c>
    </row>
    <row r="978" spans="2:2" x14ac:dyDescent="0.25">
      <c r="B978" s="16" t="s">
        <v>49</v>
      </c>
    </row>
    <row r="979" spans="2:2" x14ac:dyDescent="0.25">
      <c r="B979" s="16" t="s">
        <v>62</v>
      </c>
    </row>
    <row r="980" spans="2:2" x14ac:dyDescent="0.25">
      <c r="B980" s="16" t="s">
        <v>6</v>
      </c>
    </row>
  </sheetData>
  <sortState ref="B2:U142">
    <sortCondition ref="B1"/>
  </sortState>
  <dataValidations count="2">
    <dataValidation type="list" allowBlank="1" showInputMessage="1" showErrorMessage="1" sqref="D960:D963">
      <formula1>ListBox2</formula1>
    </dataValidation>
    <dataValidation type="list" allowBlank="1" showInputMessage="1" sqref="B976:B980 D969:D973">
      <formula1>search</formula1>
    </dataValidation>
  </dataValidations>
  <pageMargins left="0.7" right="0.7" top="0.75" bottom="0.75" header="0.3" footer="0.3"/>
  <pageSetup orientation="portrait"/>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
  <sheetViews>
    <sheetView showGridLines="0" workbookViewId="0">
      <selection activeCell="A10" sqref="A10"/>
    </sheetView>
  </sheetViews>
  <sheetFormatPr defaultRowHeight="15" x14ac:dyDescent="0.25"/>
  <cols>
    <col min="1" max="1" width="189.28515625" customWidth="1"/>
  </cols>
  <sheetData>
    <row r="1" spans="1:1" ht="230.25" customHeight="1" x14ac:dyDescent="0.25">
      <c r="A1" s="15" t="s">
        <v>558</v>
      </c>
    </row>
  </sheetData>
  <pageMargins left="0.7" right="0.7" top="0.75" bottom="0.75" header="0.3" footer="0.3"/>
  <pageSetup paperSize="9" orientation="portrai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Receiver>
    <Name/>
    <Synchronization>Asynchronous</Synchronization>
    <Type>10001</Type>
    <SequenceNumber>10000</SequenceNumber>
    <Assembly>Rabobank.SP2010.BasisPlatform.DocumentManagement.DocumentIDProvider, Version=1.0.0.0, Culture=neutral, PublicKeyToken=971e7dce0acfce6e</Assembly>
    <Class>Rabobank.SP2010.BasisPlatform.DocumentManagement.DocumentIDProvider.ItemEventHandler</Class>
    <Data/>
    <Filter/>
  </Receiver>
  <Receiver>
    <Name/>
    <Synchronization>Asynchronous</Synchronization>
    <Type>10002</Type>
    <SequenceNumber>10000</SequenceNumber>
    <Assembly>Rabobank.SP2010.BasisPlatform.DocumentManagement.DocumentIDProvider, Version=1.0.0.0, Culture=neutral, PublicKeyToken=971e7dce0acfce6e</Assembly>
    <Class>Rabobank.SP2010.BasisPlatform.DocumentManagement.DocumentIDProvider.ItemEventHandler</Class>
    <Data/>
    <Filter/>
  </Receiver>
  <Receiver>
    <Name/>
    <Synchronization>Asynchronous</Synchronization>
    <Type>10009</Type>
    <SequenceNumber>10000</SequenceNumber>
    <Assembly>Rabobank.SP2010.BasisPlatform.DocumentManagement.DocumentIDProvider, Version=1.0.0.0, Culture=neutral, PublicKeyToken=971e7dce0acfce6e</Assembly>
    <Class>Rabobank.SP2010.BasisPlatform.DocumentManagement.DocumentIDProvider.ItemEventHandler</Class>
    <Data/>
    <Filter/>
  </Receiver>
  <Receiver>
    <Name/>
    <Synchronization>Synchronous</Synchronization>
    <Type>3</Type>
    <SequenceNumber>10000</SequenceNumber>
    <Assembly>Rabobank.SP2010.BasisPlatform.DocumentManagement.DocumentIDProvider, Version=1.0.0.0, Culture=neutral, PublicKeyToken=971e7dce0acfce6e</Assembly>
    <Class>Rabobank.SP2010.BasisPlatform.DocumentManagement.DocumentIDProvider.ItemEventHandler</Class>
    <Data/>
    <Filter/>
  </Receiver>
</spe:Receivers>
</file>

<file path=customXml/item2.xml><?xml version="1.0" encoding="utf-8"?>
<?mso-contentType ?>
<SharedContentType xmlns="Microsoft.SharePoint.Taxonomy.ContentTypeSync" SourceId="69e3832b-2da5-4b71-ac8e-7c2699b8ac87" ContentTypeId="0x010100DE3A701C8EF14EFD93FD858D0DAA9C61001B70A8DF90914431B94C8CFDE696F349" PreviousValue="true"/>
</file>

<file path=customXml/item3.xml><?xml version="1.0" encoding="utf-8"?>
<ct:contentTypeSchema xmlns:ct="http://schemas.microsoft.com/office/2006/metadata/contentType" xmlns:ma="http://schemas.microsoft.com/office/2006/metadata/properties/metaAttributes" ct:_="" ma:_="" ma:contentTypeName="Artikel" ma:contentTypeID="0x010100DE3A701C8EF14EFD93FD858D0DAA9C61001B70A8DF90914431B94C8CFDE696F34900EE7BD574824C094BBB73787A785B5D57" ma:contentTypeVersion="11" ma:contentTypeDescription="" ma:contentTypeScope="" ma:versionID="bc0df9da1cc38db18512d5870eafdb51">
  <xsd:schema xmlns:xsd="http://www.w3.org/2001/XMLSchema" xmlns:xs="http://www.w3.org/2001/XMLSchema" xmlns:p="http://schemas.microsoft.com/office/2006/metadata/properties" xmlns:ns1="http://schemas.microsoft.com/sharepoint/v3" xmlns:ns2="4633c2bc-e5ed-4624-9c16-523eeb8bde8c" xmlns:ns3="83511456-6b74-4e88-abe6-7de6e0aad52b" xmlns:ns4="http://schemas.rabobank.nl/basisplatform" xmlns:ns5="64774fd4-75f0-4501-972b-c2d7279a58e2" xmlns:ns6="http://schemas.microsoft.com/sharepoint/v4" targetNamespace="http://schemas.microsoft.com/office/2006/metadata/properties" ma:root="true" ma:fieldsID="a279de58009ebe6ff4660dbe7330ae84" ns1:_="" ns2:_="" ns3:_="" ns4:_="" ns5:_="" ns6:_="">
    <xsd:import namespace="http://schemas.microsoft.com/sharepoint/v3"/>
    <xsd:import namespace="4633c2bc-e5ed-4624-9c16-523eeb8bde8c"/>
    <xsd:import namespace="83511456-6b74-4e88-abe6-7de6e0aad52b"/>
    <xsd:import namespace="http://schemas.rabobank.nl/basisplatform"/>
    <xsd:import namespace="64774fd4-75f0-4501-972b-c2d7279a58e2"/>
    <xsd:import namespace="http://schemas.microsoft.com/sharepoint/v4"/>
    <xsd:element name="properties">
      <xsd:complexType>
        <xsd:sequence>
          <xsd:element name="documentManagement">
            <xsd:complexType>
              <xsd:all>
                <xsd:element ref="ns2:Rabobank_OnderwerpTaxHTField0" minOccurs="0"/>
                <xsd:element ref="ns3:TaxCatchAll" minOccurs="0"/>
                <xsd:element ref="ns3:TaxCatchAllLabel" minOccurs="0"/>
                <xsd:element ref="ns4:Rabobank_TrefwoordenTaxHTField0" minOccurs="0"/>
                <xsd:element ref="ns3:_dlc_DocId" minOccurs="0"/>
                <xsd:element ref="ns3:_dlc_DocIdUrl" minOccurs="0"/>
                <xsd:element ref="ns3:_dlc_DocIdPersistId" minOccurs="0"/>
                <xsd:element ref="ns5:RaboWeb_DocumentIDProviderLinkID" minOccurs="0"/>
                <xsd:element ref="ns1:V3Comments" minOccurs="0"/>
                <xsd:element ref="ns6:IconOverla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V3Comments" ma:index="18" nillable="true" ma:displayName="Check in comment" ma:internalName="V3Comments">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4633c2bc-e5ed-4624-9c16-523eeb8bde8c" elementFormDefault="qualified">
    <xsd:import namespace="http://schemas.microsoft.com/office/2006/documentManagement/types"/>
    <xsd:import namespace="http://schemas.microsoft.com/office/infopath/2007/PartnerControls"/>
    <xsd:element name="Rabobank_OnderwerpTaxHTField0" ma:index="8" nillable="true" ma:taxonomy="true" ma:internalName="Rabobank_OnderwerpTaxHTField0" ma:taxonomyFieldName="Rabobank_Onderwerp" ma:displayName="Onderwerp" ma:default="" ma:fieldId="{0465b0fc-3d95-4a57-bd1f-d1c61f18bf59}" ma:taxonomyMulti="true" ma:sspId="69e3832b-2da5-4b71-ac8e-7c2699b8ac87" ma:termSetId="ce0215f4-d4cb-41c9-9275-385f8f8ceea2"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83511456-6b74-4e88-abe6-7de6e0aad52b"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4ed925cd-dbd2-4e90-b087-2d66e7f0b206}" ma:internalName="TaxCatchAll" ma:showField="CatchAllData" ma:web="1678d5cf-48f2-4e09-b0d4-986b0178b418">
      <xsd:complexType>
        <xsd:complexContent>
          <xsd:extension base="dms:MultiChoiceLookup">
            <xsd:sequence>
              <xsd:element name="Value" type="dms:Lookup" maxOccurs="unbounded" minOccurs="0" nillable="true"/>
            </xsd:sequence>
          </xsd:extension>
        </xsd:complexContent>
      </xsd:complexType>
    </xsd:element>
    <xsd:element name="TaxCatchAllLabel" ma:index="11" nillable="true" ma:displayName="Taxonomy Catch All Column1" ma:hidden="true" ma:list="{4ed925cd-dbd2-4e90-b087-2d66e7f0b206}" ma:internalName="TaxCatchAllLabel" ma:readOnly="true" ma:showField="CatchAllDataLabel" ma:web="1678d5cf-48f2-4e09-b0d4-986b0178b418">
      <xsd:complexType>
        <xsd:complexContent>
          <xsd:extension base="dms:MultiChoiceLookup">
            <xsd:sequence>
              <xsd:element name="Value" type="dms:Lookup" maxOccurs="unbounded" minOccurs="0" nillable="true"/>
            </xsd:sequence>
          </xsd:extension>
        </xsd:complexContent>
      </xsd:complexType>
    </xsd:element>
    <xsd:element name="_dlc_DocId" ma:index="14" nillable="true" ma:displayName="Waarde van de document-id" ma:description="De waarde van de document-id die aan dit item is toegewezen." ma:internalName="_dlc_DocId" ma:readOnly="true">
      <xsd:simpleType>
        <xsd:restriction base="dms:Text"/>
      </xsd:simpleType>
    </xsd:element>
    <xsd:element name="_dlc_DocIdUrl" ma:index="15" nillable="true" ma:displayName="Document-id" ma:description="Permanente koppeling naar dit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6"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http://schemas.rabobank.nl/basisplatform" elementFormDefault="qualified">
    <xsd:import namespace="http://schemas.microsoft.com/office/2006/documentManagement/types"/>
    <xsd:import namespace="http://schemas.microsoft.com/office/infopath/2007/PartnerControls"/>
    <xsd:element name="Rabobank_TrefwoordenTaxHTField0" ma:index="12" nillable="true" ma:taxonomy="true" ma:internalName="Rabobank_TrefwoordenTaxHTField0" ma:taxonomyFieldName="Rabobank_Trefwoorden" ma:displayName="Trefwoorden" ma:default="" ma:fieldId="{5788ed7a-08f4-42c3-b46d-bef4bac61e1a}" ma:taxonomyMulti="true" ma:sspId="69e3832b-2da5-4b71-ac8e-7c2699b8ac87" ma:termSetId="9978a78e-ca81-424c-ac73-c6b82e283a55" ma:anchorId="00000000-0000-0000-0000-000000000000"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64774fd4-75f0-4501-972b-c2d7279a58e2" elementFormDefault="qualified">
    <xsd:import namespace="http://schemas.microsoft.com/office/2006/documentManagement/types"/>
    <xsd:import namespace="http://schemas.microsoft.com/office/infopath/2007/PartnerControls"/>
    <xsd:element name="RaboWeb_DocumentIDProviderLinkID" ma:index="17" nillable="true" ma:displayName="Document ID LinkID" ma:description="Rabobank Document ID Provider metadata voor terugvinden van de juiste Link in het systeem." ma:hidden="true" ma:internalName="RaboWeb_DocumentIDProviderLinkID">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19"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Rabobank_TrefwoordenTaxHTField0 xmlns="http://schemas.rabobank.nl/basisplatform">
      <Terms xmlns="http://schemas.microsoft.com/office/infopath/2007/PartnerControls"/>
    </Rabobank_TrefwoordenTaxHTField0>
    <Rabobank_OnderwerpTaxHTField0 xmlns="4633c2bc-e5ed-4624-9c16-523eeb8bde8c">
      <Terms xmlns="http://schemas.microsoft.com/office/infopath/2007/PartnerControls"/>
    </Rabobank_OnderwerpTaxHTField0>
    <IconOverlay xmlns="http://schemas.microsoft.com/sharepoint/v4" xsi:nil="true"/>
    <V3Comments xmlns="http://schemas.microsoft.com/sharepoint/v3" xsi:nil="true"/>
    <TaxCatchAll xmlns="83511456-6b74-4e88-abe6-7de6e0aad52b"/>
    <RaboWeb_DocumentIDProviderLinkID xmlns="64774fd4-75f0-4501-972b-c2d7279a58e2">e69e097b-c557-e611-80ea-d89d6773618c</RaboWeb_DocumentIDProviderLinkID>
    <_dlc_DocId xmlns="83511456-6b74-4e88-abe6-7de6e0aad52b">RABO-SW-2016-01990848</_dlc_DocId>
    <_dlc_DocIdUrl xmlns="83511456-6b74-4e88-abe6-7de6e0aad52b">
      <Url>http://samenwerken.rabobank.nl/team/TestautomatiseringBetaalfabriek/_layouts/DocIdRedir.aspx?ID=RABO-SW-2016-01990848</Url>
      <Description>RABO-SW-2016-01990848</Description>
    </_dlc_DocIdUrl>
  </documentManagement>
</p:properties>
</file>

<file path=customXml/item5.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C914837-2044-43A0-B0A5-A6AAF32D3463}">
  <ds:schemaRefs>
    <ds:schemaRef ds:uri="http://schemas.microsoft.com/sharepoint/events"/>
  </ds:schemaRefs>
</ds:datastoreItem>
</file>

<file path=customXml/itemProps2.xml><?xml version="1.0" encoding="utf-8"?>
<ds:datastoreItem xmlns:ds="http://schemas.openxmlformats.org/officeDocument/2006/customXml" ds:itemID="{F507EEC7-E34D-403A-B71D-8D556BB9BCEE}">
  <ds:schemaRefs>
    <ds:schemaRef ds:uri="Microsoft.SharePoint.Taxonomy.ContentTypeSync"/>
  </ds:schemaRefs>
</ds:datastoreItem>
</file>

<file path=customXml/itemProps3.xml><?xml version="1.0" encoding="utf-8"?>
<ds:datastoreItem xmlns:ds="http://schemas.openxmlformats.org/officeDocument/2006/customXml" ds:itemID="{FBDD4819-BF8F-477C-A12C-2E4558C297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4633c2bc-e5ed-4624-9c16-523eeb8bde8c"/>
    <ds:schemaRef ds:uri="83511456-6b74-4e88-abe6-7de6e0aad52b"/>
    <ds:schemaRef ds:uri="http://schemas.rabobank.nl/basisplatform"/>
    <ds:schemaRef ds:uri="64774fd4-75f0-4501-972b-c2d7279a58e2"/>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BA0CC8DB-C03E-4738-A023-77DF73DAC991}">
  <ds:schemaRefs>
    <ds:schemaRef ds:uri="http://purl.org/dc/terms/"/>
    <ds:schemaRef ds:uri="http://schemas.microsoft.com/office/2006/metadata/properties"/>
    <ds:schemaRef ds:uri="http://purl.org/dc/dcmitype/"/>
    <ds:schemaRef ds:uri="http://schemas.microsoft.com/office/2006/documentManagement/types"/>
    <ds:schemaRef ds:uri="http://schemas.microsoft.com/office/infopath/2007/PartnerControls"/>
    <ds:schemaRef ds:uri="http://schemas.openxmlformats.org/package/2006/metadata/core-properties"/>
    <ds:schemaRef ds:uri="64774fd4-75f0-4501-972b-c2d7279a58e2"/>
    <ds:schemaRef ds:uri="83511456-6b74-4e88-abe6-7de6e0aad52b"/>
    <ds:schemaRef ds:uri="http://schemas.microsoft.com/sharepoint/v3"/>
    <ds:schemaRef ds:uri="http://schemas.microsoft.com/sharepoint/v4"/>
    <ds:schemaRef ds:uri="http://purl.org/dc/elements/1.1/"/>
    <ds:schemaRef ds:uri="http://schemas.rabobank.nl/basisplatform"/>
    <ds:schemaRef ds:uri="4633c2bc-e5ed-4624-9c16-523eeb8bde8c"/>
    <ds:schemaRef ds:uri="http://www.w3.org/XML/1998/namespace"/>
  </ds:schemaRefs>
</ds:datastoreItem>
</file>

<file path=customXml/itemProps5.xml><?xml version="1.0" encoding="utf-8"?>
<ds:datastoreItem xmlns:ds="http://schemas.openxmlformats.org/officeDocument/2006/customXml" ds:itemID="{A26BC1EB-D01B-4C55-8FE0-7B1B5EDAF65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RunOrder</vt:lpstr>
      <vt:lpstr>TestCase</vt:lpstr>
      <vt:lpstr>TestData</vt:lpstr>
      <vt:lpstr>Output</vt:lpstr>
      <vt:lpstr>ResultBook</vt:lpstr>
      <vt:lpstr>LocalRTS</vt:lpstr>
      <vt:lpstr>DoNotTouch</vt:lpstr>
      <vt:lpstr>Help</vt:lpstr>
      <vt:lpstr>Env</vt:lpstr>
    </vt:vector>
  </TitlesOfParts>
  <Company>Rabobank</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Kora, N (Naveen)</dc:creator>
  <cp:lastModifiedBy>Hosur, R (Raghavendra)</cp:lastModifiedBy>
  <dcterms:created xsi:type="dcterms:W3CDTF">2016-05-18T13:33:50Z</dcterms:created>
  <dcterms:modified xsi:type="dcterms:W3CDTF">2016-10-07T10:46:31Z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0x010100DE3A701C8EF14EFD93FD858D0DAA9C61001B70A8DF90914431B94C8CFDE696F34900EE7BD574824C094BBB73787A785B5D57</vt:lpwstr>
  </property>
  <property fmtid="{D5CDD505-2E9C-101B-9397-08002B2CF9AE}" pid="3" name="_dlc_DocIdItemGuid">
    <vt:lpwstr>b0006b68-25d0-486b-8455-6e2e8430e760</vt:lpwstr>
  </property>
  <property fmtid="{D5CDD505-2E9C-101B-9397-08002B2CF9AE}" pid="4" name="Rabobank_Trefwoorden">
    <vt:lpwstr/>
  </property>
  <property fmtid="{D5CDD505-2E9C-101B-9397-08002B2CF9AE}" pid="5" name="Rabobank_Onderwerp">
    <vt:lpwstr/>
  </property>
</Properties>
</file>