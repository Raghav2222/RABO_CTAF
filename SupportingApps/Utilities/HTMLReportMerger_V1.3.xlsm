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14640" windowHeight="5145" activeTab="1"/>
  </bookViews>
  <sheets>
    <sheet name="ExecutionDetails" sheetId="2" r:id="rId1"/>
    <sheet name="ReportHeaderInformation" sheetId="4" r:id="rId2"/>
    <sheet name="GenerateReport" sheetId="6" r:id="rId3"/>
    <sheet name="User Guide" sheetId="3" r:id="rId4"/>
  </sheets>
  <functionGroups builtInGroupCount="17"/>
  <definedNames>
    <definedName name="_xlnm._FilterDatabase" localSheetId="2" hidden="1">GenerateReport!$A$1:$H$91</definedName>
  </definedNames>
  <calcPr calcId="145621"/>
</workbook>
</file>

<file path=xl/calcChain.xml><?xml version="1.0" encoding="utf-8"?>
<calcChain xmlns="http://schemas.openxmlformats.org/spreadsheetml/2006/main">
  <c r="C14" i="6" l="1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3" i="6" l="1"/>
  <c r="C4" i="6"/>
  <c r="C5" i="6"/>
  <c r="C6" i="6"/>
  <c r="C7" i="6"/>
  <c r="C8" i="6"/>
  <c r="C9" i="6"/>
  <c r="C10" i="6"/>
  <c r="C11" i="6"/>
  <c r="C12" i="6"/>
  <c r="C13" i="6"/>
  <c r="C2" i="6"/>
  <c r="A3" i="6" l="1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</calcChain>
</file>

<file path=xl/comments1.xml><?xml version="1.0" encoding="utf-8"?>
<comments xmlns="http://schemas.openxmlformats.org/spreadsheetml/2006/main">
  <authors>
    <author>Dadhe, G (Gaurav)</author>
  </authors>
  <commentList>
    <comment ref="C10" authorId="0">
      <text>
        <r>
          <rPr>
            <b/>
            <sz val="9"/>
            <color indexed="81"/>
            <rFont val="Tahoma"/>
            <family val="2"/>
          </rPr>
          <t>Dadhe, G (Gaurav):</t>
        </r>
        <r>
          <rPr>
            <sz val="9"/>
            <color indexed="81"/>
            <rFont val="Tahoma"/>
            <family val="2"/>
          </rPr>
          <t xml:space="preserve">
Values of Execution console will be updated run time by the Macro.</t>
        </r>
      </text>
    </comment>
  </commentList>
</comments>
</file>

<file path=xl/comments2.xml><?xml version="1.0" encoding="utf-8"?>
<comments xmlns="http://schemas.openxmlformats.org/spreadsheetml/2006/main">
  <authors>
    <author>Kora, N (Naveen)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Basic test case, Initiate with XML and check status in BVA</t>
        </r>
      </text>
    </comment>
    <comment ref="C2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TBD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Basic test case, Initiate with XML and check status in BVA</t>
        </r>
      </text>
    </comment>
    <comment ref="C3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TBD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Using Ablack Listed Work Item Or IBAN &gt; Transaction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Using Ablack Listed Work Item Or IBAN &gt; Transaction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 xml:space="preserve">Kora, N (Naveen):
Test case : </t>
        </r>
        <r>
          <rPr>
            <sz val="9"/>
            <color indexed="81"/>
            <rFont val="Tahoma"/>
            <family val="2"/>
          </rPr>
          <t xml:space="preserve">
Donot Approve Madate
</t>
        </r>
      </text>
    </comment>
    <comment ref="C6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DO it at the end of the execution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DO it at the end of the execution</t>
        </r>
      </text>
    </comment>
    <comment ref="B10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Post the Q after 30 Days of settlement date and Transaction is Rejected in PEX for the same &gt;check History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Push The Q and check instruction &gt; transaction on sam Day D-2 and history for value warehoused</t>
        </r>
      </text>
    </comment>
    <comment ref="B14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1. Execute on Friday to see the Overidden Message in history
2. Change the dates in the History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Failed in ALM</t>
        </r>
      </text>
    </comment>
    <comment ref="B18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Run MQ check same Day</t>
        </r>
      </text>
    </comment>
    <comment ref="B19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Run MQ check same Day</t>
        </r>
      </text>
    </comment>
    <comment ref="B24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Happy Flow Same as B2B</t>
        </r>
      </text>
    </comment>
    <comment ref="B29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Removed from Suite as per emaiil from Lunding, MN (Martijn)</t>
        </r>
      </text>
    </comment>
    <comment ref="B30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Send MQ to ORM Without E2E</t>
        </r>
      </text>
    </comment>
    <comment ref="B31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Send MQ to ORM With Duplicate E2E</t>
        </r>
      </text>
    </comment>
    <comment ref="B32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Send MQ to PEX Without E2E</t>
        </r>
      </text>
    </comment>
    <comment ref="B33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Send MQ to PEX With Duplicate E2E</t>
        </r>
      </text>
    </comment>
    <comment ref="B34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Chk in Paacs003 outgoing xml for E2E as "NOTPROVIDED"</t>
        </r>
      </text>
    </comment>
    <comment ref="B35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Rejected in ORM</t>
        </r>
      </text>
    </comment>
    <comment ref="B39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Reject the Transaction in PEX &gt; D</t>
        </r>
      </text>
    </comment>
    <comment ref="B40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Reject the Transaction in PEX &gt; D</t>
        </r>
      </text>
    </comment>
    <comment ref="B41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Reject the Transaction in PEX &gt; D</t>
        </r>
      </text>
    </comment>
    <comment ref="B42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Reject the Transaction in PEX &gt; D</t>
        </r>
      </text>
    </comment>
    <comment ref="B70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TBD</t>
        </r>
      </text>
    </comment>
    <comment ref="B71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TBD</t>
        </r>
      </text>
    </comment>
    <comment ref="B74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DO it at the end of the execution</t>
        </r>
      </text>
    </comment>
    <comment ref="B76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DO it at the end of the execution</t>
        </r>
      </text>
    </comment>
    <comment ref="B86" authorId="0">
      <text>
        <r>
          <rPr>
            <b/>
            <sz val="9"/>
            <color indexed="81"/>
            <rFont val="Tahoma"/>
            <family val="2"/>
          </rPr>
          <t>Kora, N (Naveen):</t>
        </r>
        <r>
          <rPr>
            <sz val="9"/>
            <color indexed="81"/>
            <rFont val="Tahoma"/>
            <family val="2"/>
          </rPr>
          <t xml:space="preserve">
Taken care by Gaurav</t>
        </r>
      </text>
    </comment>
  </commentList>
</comments>
</file>

<file path=xl/sharedStrings.xml><?xml version="1.0" encoding="utf-8"?>
<sst xmlns="http://schemas.openxmlformats.org/spreadsheetml/2006/main" count="526" uniqueCount="166">
  <si>
    <t>TCInstanceName</t>
  </si>
  <si>
    <t>ExecutionStatus</t>
  </si>
  <si>
    <t>Environment</t>
  </si>
  <si>
    <t>FailurePhase</t>
  </si>
  <si>
    <t>D</t>
  </si>
  <si>
    <t>InstanceNr</t>
  </si>
  <si>
    <t>ManualTCName</t>
  </si>
  <si>
    <t>Customised Report Folder Path</t>
  </si>
  <si>
    <t>Execution Report Folder Path</t>
  </si>
  <si>
    <t>User Guide</t>
  </si>
  <si>
    <r>
      <rPr>
        <b/>
        <sz val="11"/>
        <color theme="1"/>
        <rFont val="Cambria Light"/>
      </rPr>
      <t>Developed By</t>
    </r>
    <r>
      <rPr>
        <sz val="11"/>
        <color theme="1"/>
        <rFont val="Cambria Light"/>
      </rPr>
      <t>: IBM India Pvt Ltd</t>
    </r>
  </si>
  <si>
    <r>
      <rPr>
        <b/>
        <sz val="10"/>
        <color theme="1"/>
        <rFont val="Calibri Light"/>
        <family val="2"/>
      </rPr>
      <t>Note:</t>
    </r>
    <r>
      <rPr>
        <sz val="10"/>
        <color theme="1"/>
        <rFont val="Calibri Light"/>
        <family val="2"/>
      </rPr>
      <t xml:space="preserve"> Kindly refer User Guide before using this Macro</t>
    </r>
  </si>
  <si>
    <t>Step 1</t>
  </si>
  <si>
    <t>Step 2</t>
  </si>
  <si>
    <t>Total Test Cases</t>
  </si>
  <si>
    <t>TC Reporting Completed</t>
  </si>
  <si>
    <t>TC Reporting Remaining</t>
  </si>
  <si>
    <t>StartDay</t>
  </si>
  <si>
    <t>EndDay</t>
  </si>
  <si>
    <t>Requestor</t>
  </si>
  <si>
    <t>Role of Requestor</t>
  </si>
  <si>
    <t>Request Date</t>
  </si>
  <si>
    <t>Module Name</t>
  </si>
  <si>
    <t>Execution Date</t>
  </si>
  <si>
    <t>Modular TC Count</t>
  </si>
  <si>
    <t>Test Instances Count</t>
  </si>
  <si>
    <t>Total Execution Time</t>
  </si>
  <si>
    <t>Peter Claassen (Rabobank)</t>
  </si>
  <si>
    <t>Test Manager</t>
  </si>
  <si>
    <t>HTML Report Header Information</t>
  </si>
  <si>
    <t>NA</t>
  </si>
  <si>
    <t>DFS Applicable</t>
  </si>
  <si>
    <t>How to use????</t>
  </si>
  <si>
    <t>Step 1:</t>
  </si>
  <si>
    <t>Provide Execution Details.</t>
  </si>
  <si>
    <t>Enter the Paths</t>
  </si>
  <si>
    <t>Step 2:</t>
  </si>
  <si>
    <t>Provide HTML report header information</t>
  </si>
  <si>
    <t>Enter the Header Info</t>
  </si>
  <si>
    <t xml:space="preserve">Step 3: </t>
  </si>
  <si>
    <t>Provide Test case related information</t>
  </si>
  <si>
    <t>Provide Sr No.</t>
  </si>
  <si>
    <t>Provide Instance Name</t>
  </si>
  <si>
    <t>Provide Manual TC Name along with it description</t>
  </si>
  <si>
    <t>Provide final TC execution status</t>
  </si>
  <si>
    <t>Mention the environment name</t>
  </si>
  <si>
    <t>Provide start phase of the TC (eg. D, D+1, IniPmt D)</t>
  </si>
  <si>
    <t>Provide end phase of the TC (eg. D, D+1, IniPmt D)</t>
  </si>
  <si>
    <t>Step 4:</t>
  </si>
  <si>
    <t>Executing Macro/s</t>
  </si>
  <si>
    <t>There are 2 ways to generate final HTML reports</t>
  </si>
  <si>
    <r>
      <rPr>
        <b/>
        <u/>
        <sz val="10"/>
        <color theme="1"/>
        <rFont val="Calibri Light"/>
        <family val="2"/>
      </rPr>
      <t xml:space="preserve">Way 1: </t>
    </r>
    <r>
      <rPr>
        <sz val="10"/>
        <color theme="1"/>
        <rFont val="Calibri Light"/>
        <family val="2"/>
      </rPr>
      <t xml:space="preserve">
 - Merge all the reports using</t>
    </r>
    <r>
      <rPr>
        <b/>
        <i/>
        <sz val="10"/>
        <color theme="1"/>
        <rFont val="Calibri Light"/>
        <family val="2"/>
      </rPr>
      <t xml:space="preserve"> "Merge Reports"</t>
    </r>
    <r>
      <rPr>
        <sz val="10"/>
        <color theme="1"/>
        <rFont val="Calibri Light"/>
        <family val="2"/>
      </rPr>
      <t xml:space="preserve"> button.
- After merging all the reports click on </t>
    </r>
    <r>
      <rPr>
        <b/>
        <i/>
        <sz val="10"/>
        <color theme="1"/>
        <rFont val="Calibri Light"/>
        <family val="2"/>
      </rPr>
      <t>"Generate Report"</t>
    </r>
    <r>
      <rPr>
        <sz val="10"/>
        <color theme="1"/>
        <rFont val="Calibri Light"/>
        <family val="2"/>
      </rPr>
      <t xml:space="preserve"> button to create final consolidated HTML report.</t>
    </r>
  </si>
  <si>
    <r>
      <rPr>
        <b/>
        <u/>
        <sz val="10"/>
        <color theme="1"/>
        <rFont val="Calibri Light"/>
        <family val="2"/>
      </rPr>
      <t>Way 2:</t>
    </r>
    <r>
      <rPr>
        <sz val="10"/>
        <color theme="1"/>
        <rFont val="Calibri Light"/>
        <family val="2"/>
      </rPr>
      <t xml:space="preserve">
Both merging the individual reports and generating final consolidated report can be done in a single click.
Click on </t>
    </r>
    <r>
      <rPr>
        <b/>
        <i/>
        <sz val="10"/>
        <color theme="1"/>
        <rFont val="Calibri Light"/>
        <family val="2"/>
      </rPr>
      <t xml:space="preserve">"Merge &amp; Generate Report" </t>
    </r>
    <r>
      <rPr>
        <sz val="10"/>
        <color theme="1"/>
        <rFont val="Calibri Light"/>
        <family val="2"/>
      </rPr>
      <t>button to do so.</t>
    </r>
  </si>
  <si>
    <t>Enter TC Details</t>
  </si>
  <si>
    <t>Execute Macors</t>
  </si>
  <si>
    <t>*Recommended for small sized reports.</t>
  </si>
  <si>
    <t>Execution Console</t>
  </si>
  <si>
    <t>Your reports are available @</t>
  </si>
  <si>
    <t>HTML Report Merger</t>
  </si>
  <si>
    <t>User Guide….</t>
  </si>
  <si>
    <t>END..!</t>
  </si>
  <si>
    <t>KTNH</t>
  </si>
  <si>
    <t>Mention the phase of failure (eg. D, D+1, IniPmt D). Multiple failure phases can be mentioned seperated by comma ",". (e.g. 
1. D+1,D+2
2. D, IniPmt D+1)</t>
  </si>
  <si>
    <t>Passed</t>
  </si>
  <si>
    <t>22-Feb-2016</t>
  </si>
  <si>
    <t>22-Feb 2016 to 1-March-2016</t>
  </si>
  <si>
    <t>01:00:00</t>
  </si>
  <si>
    <t>[2]OPF_SDDI_BS060_TS001_TC001_SPO with blocked Creditor ID</t>
  </si>
  <si>
    <t>[2]OPF_SDDI_BS060_TS001_TC001_SPO with Blocked Mandate</t>
  </si>
  <si>
    <t>[1]OPF_SDDI_BS050_TS001_TC020_Two CORE DDIs Cancelled on D+1</t>
  </si>
  <si>
    <t>[1]OPF_SDDI_BS050_TS001_TC030_CORE NOU DDI Cancelled on D+1</t>
  </si>
  <si>
    <t>[1]OPF_SDDI_BS060_TS001_TC020_SPO with Insufficient Amount Mandate</t>
  </si>
  <si>
    <t>[2]OPF_SDDI_BS060_TS001_TC020_SPO with Insufficient Amount Mandate</t>
  </si>
  <si>
    <t>[1]OPF_SDDI_BS060_TS001_TC040_SPO with Country Limited Mandate</t>
  </si>
  <si>
    <t>[2]OPF_SDDI_BS060_TS001_TC040_SPO with Country Limited Mandate</t>
  </si>
  <si>
    <t>[1]OPF_SDDI_BS060_TS010_TC001_SPO Frequency Updated</t>
  </si>
  <si>
    <t>[1]OPF_SDDI_BS060_TS010_TC010_SPO_Start Settlement Date Today</t>
  </si>
  <si>
    <t>[1]OPF_SDDI_BS060_TS001_TC001_SPO with blocked Creditor ID</t>
  </si>
  <si>
    <t>[1]OPF_SDDI_BS060_TS001_TC001_SPO with Blocked Mandate</t>
  </si>
  <si>
    <t>OPF-SDDI</t>
  </si>
  <si>
    <t>C:\Rabo CTAF\Final\22</t>
  </si>
  <si>
    <t>C:\Rabo CTAF\Final\22\OPF-SDDI_Reports</t>
  </si>
  <si>
    <t>D+1</t>
  </si>
  <si>
    <t>C:\Rabo CTAF\Final\22\New Report files</t>
  </si>
  <si>
    <t>[1]OPF_SDDI_BS001_TS001_TC010_B2B_OOFF</t>
  </si>
  <si>
    <t>[1]OPF_SDDI_BS001_TS001_TC001_CORE_OOFF</t>
  </si>
  <si>
    <t>[1]OPF_SDDI_BS001_TS001_TC060_Blacklist with Worklistitem via RIB and RFLP</t>
  </si>
  <si>
    <t>[2]OPF_SDDI_BS001_TS001_TC060_Blacklist with Worklistitem via RIB and RFLP</t>
  </si>
  <si>
    <t>[1]OPF_SDDI_BS001_TS001_TC070_Mandate Check Scenario H</t>
  </si>
  <si>
    <t>[1]OPF_SDDI_BS001_TS001_TC080_B2B-FRST Accounting D</t>
  </si>
  <si>
    <t>[2]OPF_SDDI_BS001_TS001_TC080_B2B-FRST Accounting D</t>
  </si>
  <si>
    <t>[3]OPF_SDDI_BS001_TS001_TC080_B2B-FRST Accounting D</t>
  </si>
  <si>
    <t>[1]OPF_SDDI_BS001_TS001_TC150_B2B Time-line validation failed</t>
  </si>
  <si>
    <t>[1]OPF_SDDI_BS001_TS001_TC160_CORE Time-line validation failed</t>
  </si>
  <si>
    <t>[1]OPF_SDDI_BS001_TS001_TC180_Instruction Declined for Higher  Amount</t>
  </si>
  <si>
    <t>[1]OPF_SDDI_BS001_TS001_TC190_Later Execution Date</t>
  </si>
  <si>
    <t>[1]OPF_SDDI_BS001_TS001_TC200_Overridden Settlement Date</t>
  </si>
  <si>
    <t>[1]OPF_SDDI_BS001_TS010_TC001_Overstaptable New BIC RABO</t>
  </si>
  <si>
    <t>[1]OPF_SDDI_BS001_TS010_TC010_Overstaptable Old BIC RABO</t>
  </si>
  <si>
    <t>[1]OPF_SDDI_BS001_TS010_TC020_Invalid exchange condition</t>
  </si>
  <si>
    <t>[1]OPF_SDDI_BS001_TS010_TC030_Non xml file and Not Authorized for DDI</t>
  </si>
  <si>
    <t>[2]OPF_SDDI_BS001_TS010_TC030_Non xml file and Not Authorized for DDI</t>
  </si>
  <si>
    <t>[1]OPF_SDDI_BS001_TS010_TC050_Duplicate transaction</t>
  </si>
  <si>
    <t>[1]OPF_SDDI_BS001_TS010_TC060_Higher Instruction Amount</t>
  </si>
  <si>
    <t>[1]OPF_SDDI_BS001_TS010_TC070_Mandate Unavailable for CORE and B2B</t>
  </si>
  <si>
    <t>[2]OPF_SDDI_BS001_TS010_TC070_Mandate Unavailable for CORE and B2B</t>
  </si>
  <si>
    <t>[1]OPF_SDDI_BS001_TS010_TC090_No Error</t>
  </si>
  <si>
    <t>[1]OPF_SDDI_BS001_TS010_TC100_Incorrect control sum</t>
  </si>
  <si>
    <t>[1]OPF_SDDI_BS001_TS010_TC110_BIC unavailable</t>
  </si>
  <si>
    <t>[1]OPF_SDDI_BS001_TS020_TC001_Max characters</t>
  </si>
  <si>
    <t>[1]OPF_SDDI_BS001_TS020_TC010_Multiple Instructions</t>
  </si>
  <si>
    <t>[1]OPF_SDDI_BS001_TS020_TC020_Duplicate Instruction</t>
  </si>
  <si>
    <t>[1]OPF_SDDI_BS001_TS030_TC001_Duplicate E2E-ID and Without E2EID in ORM</t>
  </si>
  <si>
    <t>[2]OPF_SDDI_BS001_TS030_TC001_Duplicate E2E-ID and Without E2EID in ORM</t>
  </si>
  <si>
    <t>[1]OPF_SDDI_BS001_TS030_TC020_Duplicate E2E-ID and Without E2EID in PEX</t>
  </si>
  <si>
    <t>[2]OPF_SDDI_BS001_TS030_TC020_Duplicate E2E-ID and Without E2EID in PEX</t>
  </si>
  <si>
    <t>[1]OPF_SDDI_BS001_TS030_TC040_E2EID NOT PROVIDED</t>
  </si>
  <si>
    <t>[1]OPF_SDDI_BS001_TS040_TC001_Three from RIB fail</t>
  </si>
  <si>
    <t>[1]OPF_SDDI_BS001_TS040_TC010_Two from RIB fail</t>
  </si>
  <si>
    <t>[1]OPF_SDDI_BS001_TS040_TC020_Three from RCM Fail</t>
  </si>
  <si>
    <t>[1]OPF_SDDI_BS001_TS040_TC030_Two from RCM fail</t>
  </si>
  <si>
    <t>[1]OPF_SDDI_BS010_TS001_TC001_B2B and CORE DDI OU Reject</t>
  </si>
  <si>
    <t>[2]OPF_SDDI_BS010_TS001_TC001_B2B and CORE DDI OU Reject</t>
  </si>
  <si>
    <t>[1]OPF_SDDI_BS010_TS001_TC020_CORE and B2B DDI NOU Reject</t>
  </si>
  <si>
    <t>[2]OPF_SDDI_BS010_TS001_TC020_CORE and B2B DDI NOU Reject</t>
  </si>
  <si>
    <t>[1]OPF_SDDI_BS010_TS001_TC040_pacs002 loaded D+1</t>
  </si>
  <si>
    <t>[1]OPF_SDDI_BS040_TS001_TC001_B2B OU DDI Cancelled on D-1</t>
  </si>
  <si>
    <t>[1]OPF_SDDI_BS040_TS001_TC020_B2B NOU DDI Cancelled on D-1</t>
  </si>
  <si>
    <t>[1]OPF_SDDI_BS050_TS001_TC001_B2B OU DDI Cancelled on D+1</t>
  </si>
  <si>
    <t>[1]OPF_SDDI_BS050_TS001_TC010_B2B NOU DDI Cancelled on D+1</t>
  </si>
  <si>
    <t>[1]OPF_SDDI_BS040_TS001_TC030_CORE NOU DDI Cancelled on D-1</t>
  </si>
  <si>
    <t>[1]OPF_SDDI_BS020_TS001_TC060_OU CORE DDI transaction refunded on D+1</t>
  </si>
  <si>
    <t>[1]OPF_SDDI_BS020_TS001_TC040_OU B2B DDI transaction rejected on D+3</t>
  </si>
  <si>
    <t>[1]OPF_SDDI_BS010_TS001_TC050_CORE and B2B NOU Technical Reject</t>
  </si>
  <si>
    <t>[2]OPF_SDDI_BS010_TS001_TC050_CORE and B2B NOU Technical Reject</t>
  </si>
  <si>
    <t>[1]OPF_SDDI_BS010_TS001_TC070_Compressed pacs002 loaded for B2B NOU</t>
  </si>
  <si>
    <t>[1]OPF_SDDI_BS010_TS001_TC080_pacs002 Reversal</t>
  </si>
  <si>
    <t>[1]OPF_SDDI_BS010_TS010_TC001_DNOR error for CORE and B2B</t>
  </si>
  <si>
    <t>[2]OPF_SDDI_BS010_TS010_TC001_DNOR error for CORE and B2B</t>
  </si>
  <si>
    <t>[1]OPF_SDDI_BS020_TS001_TC001_B2B and CORE OU DDI rejected after Settlement Cut-Off Time</t>
  </si>
  <si>
    <t>[2]OPF_SDDI_BS020_TS001_TC001_B2B and CORE OU DDI rejected after Settlement Cut-Off Time</t>
  </si>
  <si>
    <t>[1]OPF_SDDI_BS020_TS001_TC020_CORE and B2B NOU DDI transaction returned</t>
  </si>
  <si>
    <t>[2]OPF_SDDI_BS020_TS001_TC020_CORE and B2B NOU DDI transaction returned</t>
  </si>
  <si>
    <t>[1]OPF_SDDI_BS020_TS001_TC070_Accounting Scenario L</t>
  </si>
  <si>
    <t>[1]OPF_SDDI_BS020_TS001_TC090_Refund on D+1 for different compensation amounts</t>
  </si>
  <si>
    <t>[1]OPF_SDDI_BS030_TS001_TC001_Original Ref field not filled in,CURR error and duplicate Camt055</t>
  </si>
  <si>
    <t>[2]OPF_SDDI_BS030_TS001_TC001_Original Ref field not filled in,CURR error and duplicate Camt055</t>
  </si>
  <si>
    <t>[3]OPF_SDDI_BS030_TS001_TC001_Original Ref field not filled in,CURR error and duplicate Camt055</t>
  </si>
  <si>
    <t>[1]OPF_SDDI_BS030_TS010_TC001_Instruction no longer warehoused or cancelled</t>
  </si>
  <si>
    <t>[2]OPF_SDDI_BS030_TS010_TC001_Instruction no longer warehoused or cancelled</t>
  </si>
  <si>
    <t>[1]OPF_SDDI_BS030_TS010_TC020_Original Instruction Warehoused in ORM</t>
  </si>
  <si>
    <t>[1]OPF_SDDI_BS001_TS001_TC130_ServicelevelCode NOT  SEPA</t>
  </si>
  <si>
    <t>[1]OPF_SDDI_BS001_TS001_TC140_Duplicate PmtInfld</t>
  </si>
  <si>
    <t>[1]OPF_SDDI_BS001_TS001_TC110_Insufficient Amount Mandate</t>
  </si>
  <si>
    <t>[1]OPF_SDDI_BS020_TS001_TC080_Accounting Scenario O</t>
  </si>
  <si>
    <t>[1]OPF_SDDI_BS020_TS001_TC050_NOU CORE DDI rejected on D+15</t>
  </si>
  <si>
    <t>[1]OPF_SDDI_BS001_TS001_TC040_Insufficient funds</t>
  </si>
  <si>
    <t>[1]OPF_SDDI_BS001_TS001_TC050_Blocked Account</t>
  </si>
  <si>
    <t>[1]OPF_SDDI_BS001_TS001_TC020_Invalid IBAN</t>
  </si>
  <si>
    <t>[1]OPF_SDDI_BS001_TS001_TC030_Two instructions</t>
  </si>
  <si>
    <t>[1]OPF_SDDI_BS001_TS001_TC120_Higher Amount Transaction</t>
  </si>
  <si>
    <t>D-2</t>
  </si>
  <si>
    <t>D-6</t>
  </si>
  <si>
    <t>FAILED</t>
  </si>
  <si>
    <t>D-1</t>
  </si>
  <si>
    <t>D+3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</si>
</sst>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 Light"/>
      <family val="2"/>
    </font>
    <font>
      <sz val="12"/>
      <color theme="1"/>
      <name val="Calibri Light"/>
      <family val="2"/>
    </font>
    <font>
      <sz val="11"/>
      <color theme="1"/>
      <name val="Calibri Light"/>
      <family val="2"/>
    </font>
    <font>
      <b/>
      <sz val="11"/>
      <color theme="1"/>
      <name val="Calibri Light"/>
      <family val="2"/>
    </font>
    <font>
      <sz val="11"/>
      <color theme="1"/>
      <name val="Cambria Light"/>
    </font>
    <font>
      <b/>
      <sz val="11"/>
      <color theme="1"/>
      <name val="Cambria Light"/>
    </font>
    <font>
      <b/>
      <sz val="10"/>
      <color theme="1"/>
      <name val="Calibri Light"/>
      <family val="2"/>
    </font>
    <font>
      <u/>
      <sz val="11"/>
      <color theme="10"/>
      <name val="Calibri"/>
      <family val="2"/>
      <scheme val="minor"/>
    </font>
    <font>
      <u/>
      <sz val="10"/>
      <color theme="10"/>
      <name val="Calibri Light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 Light"/>
      <family val="2"/>
    </font>
    <font>
      <b/>
      <u/>
      <sz val="11"/>
      <color theme="10"/>
      <name val="Calibri Light"/>
      <family val="2"/>
    </font>
    <font>
      <b/>
      <u/>
      <sz val="10"/>
      <color theme="1"/>
      <name val="Calibri Light"/>
      <family val="2"/>
    </font>
    <font>
      <b/>
      <i/>
      <sz val="10"/>
      <color theme="1"/>
      <name val="Calibri Light"/>
      <family val="2"/>
    </font>
    <font>
      <b/>
      <sz val="14"/>
      <color theme="1"/>
      <name val="Calibri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5"/>
      <color theme="1"/>
      <name val="Calibri Light"/>
      <family val="2"/>
    </font>
    <font>
      <sz val="10"/>
      <name val="Calibri Light"/>
      <family val="2"/>
    </font>
    <font>
      <sz val="9"/>
      <name val="Calibri Light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8" tint="-0.249977111117893"/>
      </left>
      <right style="thick">
        <color theme="8" tint="-0.249977111117893"/>
      </right>
      <top style="thick">
        <color theme="8" tint="-0.249977111117893"/>
      </top>
      <bottom style="thick">
        <color theme="8" tint="-0.249977111117893"/>
      </bottom>
      <diagonal/>
    </border>
    <border>
      <left/>
      <right style="thick">
        <color theme="8" tint="-0.249977111117893"/>
      </right>
      <top style="thick">
        <color theme="8" tint="-0.249977111117893"/>
      </top>
      <bottom style="thick">
        <color theme="8" tint="-0.249977111117893"/>
      </bottom>
      <diagonal/>
    </border>
    <border>
      <left/>
      <right style="thick">
        <color theme="8" tint="-0.249977111117893"/>
      </right>
      <top/>
      <bottom style="thick">
        <color theme="8" tint="-0.249977111117893"/>
      </bottom>
      <diagonal/>
    </border>
    <border>
      <left style="thick">
        <color theme="8" tint="-0.249977111117893"/>
      </left>
      <right style="thick">
        <color theme="8" tint="-0.249977111117893"/>
      </right>
      <top/>
      <bottom style="thick">
        <color theme="8" tint="-0.249977111117893"/>
      </bottom>
      <diagonal/>
    </border>
    <border>
      <left style="thick">
        <color theme="8" tint="-0.249977111117893"/>
      </left>
      <right/>
      <top style="thick">
        <color theme="8" tint="-0.249977111117893"/>
      </top>
      <bottom/>
      <diagonal/>
    </border>
    <border>
      <left/>
      <right/>
      <top style="thick">
        <color theme="8" tint="-0.249977111117893"/>
      </top>
      <bottom/>
      <diagonal/>
    </border>
    <border>
      <left/>
      <right style="thick">
        <color theme="8" tint="-0.249977111117893"/>
      </right>
      <top style="thick">
        <color theme="8" tint="-0.249977111117893"/>
      </top>
      <bottom/>
      <diagonal/>
    </border>
    <border>
      <left style="thick">
        <color theme="8" tint="-0.249977111117893"/>
      </left>
      <right/>
      <top/>
      <bottom/>
      <diagonal/>
    </border>
    <border>
      <left/>
      <right style="thick">
        <color theme="8" tint="-0.249977111117893"/>
      </right>
      <top/>
      <bottom/>
      <diagonal/>
    </border>
    <border>
      <left style="thick">
        <color theme="8" tint="-0.249977111117893"/>
      </left>
      <right/>
      <top/>
      <bottom style="thick">
        <color theme="8" tint="-0.249977111117893"/>
      </bottom>
      <diagonal/>
    </border>
    <border>
      <left/>
      <right/>
      <top/>
      <bottom style="thick">
        <color theme="8" tint="-0.249977111117893"/>
      </bottom>
      <diagonal/>
    </border>
    <border>
      <left style="thick">
        <color theme="8" tint="-0.249977111117893"/>
      </left>
      <right style="thick">
        <color theme="8" tint="-0.249977111117893"/>
      </right>
      <top/>
      <bottom/>
      <diagonal/>
    </border>
    <border>
      <left style="thick">
        <color theme="8" tint="-0.249977111117893"/>
      </left>
      <right/>
      <top style="thick">
        <color theme="8" tint="-0.249977111117893"/>
      </top>
      <bottom style="thick">
        <color theme="8" tint="-0.249977111117893"/>
      </bottom>
      <diagonal/>
    </border>
    <border>
      <left style="thick">
        <color theme="1" tint="0.249977111117893"/>
      </left>
      <right style="thick">
        <color theme="1" tint="0.249977111117893"/>
      </right>
      <top style="thick">
        <color theme="1" tint="0.249977111117893"/>
      </top>
      <bottom style="thick">
        <color theme="1" tint="0.249977111117893"/>
      </bottom>
      <diagonal/>
    </border>
    <border>
      <left/>
      <right style="thick">
        <color theme="1" tint="0.249977111117893"/>
      </right>
      <top/>
      <bottom/>
      <diagonal/>
    </border>
    <border>
      <left/>
      <right style="thick">
        <color theme="1" tint="0.249977111117893"/>
      </right>
      <top/>
      <bottom style="thick">
        <color theme="1" tint="0.249977111117893"/>
      </bottom>
      <diagonal/>
    </border>
    <border>
      <left/>
      <right style="thick">
        <color theme="1" tint="0.249977111117893"/>
      </right>
      <top style="thick">
        <color theme="1" tint="0.249977111117893"/>
      </top>
      <bottom style="thick">
        <color theme="1" tint="0.249977111117893"/>
      </bottom>
      <diagonal/>
    </border>
    <border>
      <left style="thick">
        <color theme="1" tint="0.249977111117893"/>
      </left>
      <right style="thick">
        <color theme="1" tint="0.249977111117893"/>
      </right>
      <top/>
      <bottom/>
      <diagonal/>
    </border>
    <border>
      <left style="thick">
        <color theme="1" tint="0.249977111117893"/>
      </left>
      <right style="thick">
        <color theme="1" tint="0.249977111117893"/>
      </right>
      <top/>
      <bottom style="thick">
        <color theme="1" tint="0.249977111117893"/>
      </bottom>
      <diagonal/>
    </border>
    <border>
      <left style="thick">
        <color theme="1" tint="0.249977111117893"/>
      </left>
      <right/>
      <top style="thick">
        <color theme="1" tint="0.249977111117893"/>
      </top>
      <bottom style="thick">
        <color theme="1" tint="0.249977111117893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 style="thin">
        <color rgb="FF808080"/>
      </right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93">
    <xf numFmtId="0" fontId="0" fillId="0" borderId="0" xfId="0"/>
    <xf numFmtId="0" fontId="2" fillId="0" borderId="0" xfId="0" applyFont="1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3" fillId="2" borderId="1" xfId="0" applyFont="1" applyFill="1" applyBorder="1" applyAlignment="1">
      <alignment horizontal="center" vertical="top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top"/>
    </xf>
    <xf numFmtId="0" fontId="0" fillId="3" borderId="0" xfId="0" applyFill="1"/>
    <xf numFmtId="0" fontId="0" fillId="3" borderId="0" xfId="0" applyFill="1" applyBorder="1" applyAlignment="1"/>
    <xf numFmtId="0" fontId="0" fillId="3" borderId="0" xfId="0" applyFill="1" applyBorder="1"/>
    <xf numFmtId="0" fontId="4" fillId="0" borderId="3" xfId="0" applyFont="1" applyBorder="1"/>
    <xf numFmtId="0" fontId="5" fillId="0" borderId="2" xfId="0" applyFont="1" applyBorder="1"/>
    <xf numFmtId="0" fontId="10" fillId="3" borderId="0" xfId="1" applyFont="1" applyFill="1" applyAlignment="1">
      <alignment horizontal="left" vertical="top"/>
    </xf>
    <xf numFmtId="0" fontId="2" fillId="0" borderId="1" xfId="0" applyFont="1" applyBorder="1" applyAlignment="1">
      <alignment horizontal="center" vertical="top"/>
    </xf>
    <xf numFmtId="0" fontId="0" fillId="3" borderId="6" xfId="0" applyFill="1" applyBorder="1" applyAlignment="1"/>
    <xf numFmtId="0" fontId="0" fillId="3" borderId="7" xfId="0" applyFill="1" applyBorder="1" applyAlignment="1"/>
    <xf numFmtId="0" fontId="0" fillId="3" borderId="8" xfId="0" applyFill="1" applyBorder="1" applyAlignment="1"/>
    <xf numFmtId="0" fontId="0" fillId="3" borderId="9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2" xfId="0" applyFill="1" applyBorder="1" applyAlignment="1"/>
    <xf numFmtId="0" fontId="0" fillId="3" borderId="4" xfId="0" applyFill="1" applyBorder="1" applyAlignment="1"/>
    <xf numFmtId="0" fontId="5" fillId="3" borderId="9" xfId="0" applyFont="1" applyFill="1" applyBorder="1" applyAlignment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4" xfId="0" applyFill="1" applyBorder="1"/>
    <xf numFmtId="0" fontId="11" fillId="3" borderId="13" xfId="0" applyFont="1" applyFill="1" applyBorder="1"/>
    <xf numFmtId="0" fontId="11" fillId="3" borderId="2" xfId="0" applyFont="1" applyFill="1" applyBorder="1"/>
    <xf numFmtId="0" fontId="11" fillId="3" borderId="5" xfId="0" applyFont="1" applyFill="1" applyBorder="1"/>
    <xf numFmtId="0" fontId="2" fillId="3" borderId="0" xfId="0" applyFont="1" applyFill="1" applyBorder="1" applyAlignment="1">
      <alignment vertical="top"/>
    </xf>
    <xf numFmtId="0" fontId="6" fillId="3" borderId="0" xfId="0" applyFont="1" applyFill="1" applyBorder="1"/>
    <xf numFmtId="0" fontId="2" fillId="0" borderId="16" xfId="0" applyFont="1" applyBorder="1" applyAlignment="1">
      <alignment horizontal="left" vertical="top"/>
    </xf>
    <xf numFmtId="0" fontId="2" fillId="0" borderId="17" xfId="0" applyFont="1" applyBorder="1" applyAlignment="1">
      <alignment horizontal="left" vertical="top"/>
    </xf>
    <xf numFmtId="0" fontId="2" fillId="0" borderId="18" xfId="0" applyFont="1" applyBorder="1" applyAlignment="1">
      <alignment horizontal="left" vertical="top"/>
    </xf>
    <xf numFmtId="15" fontId="2" fillId="0" borderId="16" xfId="0" quotePrefix="1" applyNumberFormat="1" applyFont="1" applyBorder="1" applyAlignment="1">
      <alignment horizontal="left" vertical="top"/>
    </xf>
    <xf numFmtId="0" fontId="8" fillId="2" borderId="15" xfId="0" applyFont="1" applyFill="1" applyBorder="1" applyAlignment="1">
      <alignment horizontal="left" vertical="top"/>
    </xf>
    <xf numFmtId="0" fontId="8" fillId="2" borderId="19" xfId="0" applyFont="1" applyFill="1" applyBorder="1" applyAlignment="1">
      <alignment horizontal="left" vertical="top"/>
    </xf>
    <xf numFmtId="0" fontId="8" fillId="2" borderId="20" xfId="0" applyFont="1" applyFill="1" applyBorder="1" applyAlignment="1">
      <alignment horizontal="left" vertical="top"/>
    </xf>
    <xf numFmtId="21" fontId="2" fillId="0" borderId="17" xfId="0" quotePrefix="1" applyNumberFormat="1" applyFont="1" applyBorder="1" applyAlignment="1">
      <alignment horizontal="left" vertical="top"/>
    </xf>
    <xf numFmtId="0" fontId="4" fillId="0" borderId="1" xfId="0" applyFont="1" applyFill="1" applyBorder="1" applyAlignment="1">
      <alignment horizontal="left" vertical="top"/>
    </xf>
    <xf numFmtId="0" fontId="8" fillId="0" borderId="1" xfId="0" applyFont="1" applyFill="1" applyBorder="1" applyAlignment="1">
      <alignment horizontal="left" vertical="top"/>
    </xf>
    <xf numFmtId="0" fontId="12" fillId="3" borderId="0" xfId="0" applyFont="1" applyFill="1"/>
    <xf numFmtId="0" fontId="0" fillId="3" borderId="0" xfId="0" applyFill="1" applyAlignment="1">
      <alignment wrapText="1"/>
    </xf>
    <xf numFmtId="0" fontId="2" fillId="0" borderId="1" xfId="0" applyFont="1" applyBorder="1" applyAlignment="1">
      <alignment wrapText="1"/>
    </xf>
    <xf numFmtId="0" fontId="4" fillId="0" borderId="1" xfId="0" applyFont="1" applyBorder="1"/>
    <xf numFmtId="0" fontId="12" fillId="3" borderId="0" xfId="0" applyFont="1" applyFill="1" applyAlignment="1">
      <alignment horizontal="left"/>
    </xf>
    <xf numFmtId="0" fontId="4" fillId="3" borderId="10" xfId="0" applyFont="1" applyFill="1" applyBorder="1" applyAlignment="1">
      <alignment horizontal="left" vertical="top"/>
    </xf>
    <xf numFmtId="0" fontId="4" fillId="3" borderId="3" xfId="0" applyFont="1" applyFill="1" applyBorder="1" applyAlignment="1">
      <alignment horizontal="left" vertical="top"/>
    </xf>
    <xf numFmtId="0" fontId="4" fillId="3" borderId="4" xfId="0" applyFont="1" applyFill="1" applyBorder="1" applyAlignment="1">
      <alignment horizontal="left" vertical="top"/>
    </xf>
    <xf numFmtId="0" fontId="12" fillId="7" borderId="0" xfId="0" applyFont="1" applyFill="1"/>
    <xf numFmtId="0" fontId="12" fillId="7" borderId="0" xfId="0" applyFont="1" applyFill="1" applyBorder="1"/>
    <xf numFmtId="15" fontId="2" fillId="0" borderId="18" xfId="0" quotePrefix="1" applyNumberFormat="1" applyFont="1" applyBorder="1" applyAlignment="1">
      <alignment horizontal="left" vertical="top"/>
    </xf>
    <xf numFmtId="0" fontId="2" fillId="0" borderId="0" xfId="0" applyFont="1" applyAlignment="1"/>
    <xf numFmtId="0" fontId="2" fillId="0" borderId="1" xfId="0" applyFont="1" applyBorder="1" applyAlignment="1">
      <alignment horizontal="left" vertical="top"/>
    </xf>
    <xf numFmtId="0" fontId="2" fillId="9" borderId="1" xfId="0" applyFont="1" applyFill="1" applyBorder="1" applyAlignment="1">
      <alignment horizontal="left" vertical="top"/>
    </xf>
    <xf numFmtId="0" fontId="2" fillId="8" borderId="1" xfId="0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0" fontId="8" fillId="3" borderId="9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11" fillId="4" borderId="14" xfId="0" applyFont="1" applyFill="1" applyBorder="1" applyAlignment="1">
      <alignment horizontal="left" vertical="top"/>
    </xf>
    <xf numFmtId="0" fontId="11" fillId="4" borderId="3" xfId="0" applyFont="1" applyFill="1" applyBorder="1" applyAlignment="1">
      <alignment horizontal="left" vertical="top"/>
    </xf>
    <xf numFmtId="0" fontId="19" fillId="6" borderId="0" xfId="0" applyFont="1" applyFill="1" applyBorder="1" applyAlignment="1">
      <alignment horizontal="center" vertical="center"/>
    </xf>
    <xf numFmtId="0" fontId="19" fillId="6" borderId="10" xfId="0" applyFont="1" applyFill="1" applyBorder="1" applyAlignment="1">
      <alignment horizontal="center" vertical="center"/>
    </xf>
    <xf numFmtId="0" fontId="19" fillId="6" borderId="12" xfId="0" applyFont="1" applyFill="1" applyBorder="1" applyAlignment="1">
      <alignment horizontal="center" vertical="center"/>
    </xf>
    <xf numFmtId="0" fontId="19" fillId="6" borderId="4" xfId="0" applyFont="1" applyFill="1" applyBorder="1" applyAlignment="1">
      <alignment horizontal="center" vertical="center"/>
    </xf>
    <xf numFmtId="0" fontId="5" fillId="5" borderId="21" xfId="0" applyFont="1" applyFill="1" applyBorder="1" applyAlignment="1">
      <alignment horizontal="left" vertical="top"/>
    </xf>
    <xf numFmtId="0" fontId="5" fillId="5" borderId="18" xfId="0" applyFont="1" applyFill="1" applyBorder="1" applyAlignment="1">
      <alignment horizontal="left" vertical="top"/>
    </xf>
    <xf numFmtId="0" fontId="16" fillId="3" borderId="0" xfId="0" applyFont="1" applyFill="1" applyAlignment="1">
      <alignment horizontal="center"/>
    </xf>
    <xf numFmtId="0" fontId="12" fillId="3" borderId="0" xfId="0" applyFont="1" applyFill="1" applyAlignment="1">
      <alignment horizontal="left"/>
    </xf>
    <xf numFmtId="0" fontId="2" fillId="0" borderId="1" xfId="0" applyFont="1" applyBorder="1" applyAlignment="1">
      <alignment horizontal="left" wrapText="1"/>
    </xf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left" vertical="top"/>
    </xf>
    <xf numFmtId="0" fontId="2" fillId="0" borderId="23" xfId="0" applyFont="1" applyBorder="1" applyAlignment="1">
      <alignment horizontal="left" vertical="top" wrapText="1"/>
    </xf>
    <xf numFmtId="0" fontId="2" fillId="0" borderId="24" xfId="0" applyFont="1" applyBorder="1" applyAlignment="1">
      <alignment horizontal="left" vertical="top" wrapText="1"/>
    </xf>
    <xf numFmtId="0" fontId="2" fillId="0" borderId="25" xfId="0" applyFont="1" applyBorder="1" applyAlignment="1">
      <alignment horizontal="left" vertical="top" wrapText="1"/>
    </xf>
    <xf numFmtId="0" fontId="13" fillId="0" borderId="22" xfId="1" applyFont="1" applyBorder="1" applyAlignment="1">
      <alignment horizontal="left" vertical="top"/>
    </xf>
    <xf numFmtId="0" fontId="13" fillId="0" borderId="0" xfId="1" applyFont="1" applyAlignment="1">
      <alignment horizontal="left" vertical="top"/>
    </xf>
    <xf numFmtId="0" fontId="13" fillId="3" borderId="22" xfId="1" applyFont="1" applyFill="1" applyBorder="1" applyAlignment="1">
      <alignment horizontal="left" vertical="top"/>
    </xf>
    <xf numFmtId="0" fontId="13" fillId="3" borderId="0" xfId="1" applyFont="1" applyFill="1" applyAlignment="1">
      <alignment horizontal="left" vertical="top"/>
    </xf>
    <xf numFmtId="0" fontId="20" fillId="0" borderId="26" xfId="0" quotePrefix="1" applyFont="1" applyBorder="1" applyAlignment="1">
      <alignment horizontal="left" vertical="top"/>
    </xf>
    <xf numFmtId="0" fontId="20" fillId="10" borderId="0" xfId="0" quotePrefix="1" applyFont="1" applyFill="1" applyBorder="1" applyAlignment="1">
      <alignment horizontal="left" vertical="top" wrapText="1"/>
    </xf>
    <xf numFmtId="0" fontId="20" fillId="10" borderId="0" xfId="0" applyFont="1" applyFill="1" applyBorder="1" applyAlignment="1">
      <alignment horizontal="left" vertical="top" wrapText="1"/>
    </xf>
    <xf numFmtId="0" fontId="20" fillId="10" borderId="0" xfId="0" quotePrefix="1" applyFont="1" applyFill="1" applyBorder="1" applyAlignment="1">
      <alignment horizontal="left" vertical="top"/>
    </xf>
    <xf numFmtId="0" fontId="20" fillId="10" borderId="0" xfId="0" applyFont="1" applyFill="1" applyBorder="1" applyAlignment="1">
      <alignment horizontal="left" vertical="top"/>
    </xf>
    <xf numFmtId="0" fontId="21" fillId="10" borderId="0" xfId="0" quotePrefix="1" applyFont="1" applyFill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7</xdr:row>
          <xdr:rowOff>0</xdr:rowOff>
        </xdr:from>
        <xdr:to>
          <xdr:col>8</xdr:col>
          <xdr:colOff>476250</xdr:colOff>
          <xdr:row>8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180975</xdr:colOff>
          <xdr:row>4</xdr:row>
          <xdr:rowOff>152400</xdr:rowOff>
        </xdr:from>
        <xdr:to>
          <xdr:col>8</xdr:col>
          <xdr:colOff>447675</xdr:colOff>
          <xdr:row>6</xdr:row>
          <xdr:rowOff>47625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Merge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11</xdr:row>
          <xdr:rowOff>171450</xdr:rowOff>
        </xdr:from>
        <xdr:to>
          <xdr:col>8</xdr:col>
          <xdr:colOff>161925</xdr:colOff>
          <xdr:row>13</xdr:row>
          <xdr:rowOff>171450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Merge &amp; Generate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95251</xdr:colOff>
      <xdr:row>27</xdr:row>
      <xdr:rowOff>152400</xdr:rowOff>
    </xdr:from>
    <xdr:to>
      <xdr:col>6</xdr:col>
      <xdr:colOff>76200</xdr:colOff>
      <xdr:row>38</xdr:row>
      <xdr:rowOff>7350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1" y="5562600"/>
          <a:ext cx="4933949" cy="2055225"/>
        </a:xfrm>
        <a:prstGeom prst="rect">
          <a:avLst/>
        </a:prstGeom>
        <a:ln w="9525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76200</xdr:colOff>
      <xdr:row>7</xdr:row>
      <xdr:rowOff>0</xdr:rowOff>
    </xdr:from>
    <xdr:to>
      <xdr:col>11</xdr:col>
      <xdr:colOff>209512</xdr:colOff>
      <xdr:row>24</xdr:row>
      <xdr:rowOff>104775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2162176"/>
          <a:ext cx="8134312" cy="3505200"/>
        </a:xfrm>
        <a:prstGeom prst="rect">
          <a:avLst/>
        </a:prstGeom>
        <a:noFill/>
        <a:ln w="9525"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J22"/>
  <sheetViews>
    <sheetView zoomScale="80" zoomScaleNormal="80" workbookViewId="0">
      <selection activeCell="D7" sqref="D7"/>
    </sheetView>
  </sheetViews>
  <sheetFormatPr defaultRowHeight="15"/>
  <cols>
    <col min="1" max="1" width="5.28515625" style="8" customWidth="1"/>
    <col min="2" max="2" width="9.140625" style="8"/>
    <col min="3" max="3" width="32.85546875" style="8" bestFit="1" customWidth="1"/>
    <col min="4" max="4" width="55.7109375" style="8" customWidth="1"/>
    <col min="5" max="16384" width="9.140625" style="8"/>
  </cols>
  <sheetData>
    <row r="1" spans="2:10">
      <c r="C1" s="28"/>
      <c r="D1" s="69" t="s">
        <v>58</v>
      </c>
      <c r="E1" s="70"/>
    </row>
    <row r="2" spans="2:10" ht="15.75" thickBot="1">
      <c r="C2" s="31"/>
      <c r="D2" s="71"/>
      <c r="E2" s="72"/>
    </row>
    <row r="3" spans="2:10" ht="15.75" thickTop="1">
      <c r="B3" s="24"/>
      <c r="C3" s="25"/>
      <c r="D3" s="25"/>
      <c r="E3" s="25"/>
      <c r="F3" s="25"/>
      <c r="G3" s="25"/>
      <c r="H3" s="25"/>
      <c r="I3" s="25"/>
      <c r="J3" s="26"/>
    </row>
    <row r="4" spans="2:10" ht="15.75" thickBot="1">
      <c r="B4" s="27"/>
      <c r="C4" s="10"/>
      <c r="D4" s="10"/>
      <c r="E4" s="10"/>
      <c r="F4" s="10"/>
      <c r="G4" s="10"/>
      <c r="H4" s="10"/>
      <c r="I4" s="10"/>
      <c r="J4" s="28"/>
    </row>
    <row r="5" spans="2:10" ht="16.5" thickTop="1" thickBot="1">
      <c r="B5" s="27"/>
      <c r="C5" s="12" t="s">
        <v>7</v>
      </c>
      <c r="D5" s="11" t="s">
        <v>80</v>
      </c>
      <c r="E5" s="10"/>
      <c r="F5" s="15"/>
      <c r="G5" s="16"/>
      <c r="H5" s="16"/>
      <c r="I5" s="17"/>
      <c r="J5" s="28"/>
    </row>
    <row r="6" spans="2:10" ht="16.5" thickTop="1" thickBot="1">
      <c r="B6" s="27"/>
      <c r="C6" s="10"/>
      <c r="D6" s="10"/>
      <c r="E6" s="10"/>
      <c r="F6" s="23" t="s">
        <v>12</v>
      </c>
      <c r="G6" s="9"/>
      <c r="H6" s="9"/>
      <c r="I6" s="19"/>
      <c r="J6" s="28"/>
    </row>
    <row r="7" spans="2:10" ht="16.5" thickTop="1" thickBot="1">
      <c r="B7" s="27"/>
      <c r="C7" s="12" t="s">
        <v>8</v>
      </c>
      <c r="D7" s="11" t="s">
        <v>83</v>
      </c>
      <c r="E7" s="10"/>
      <c r="F7" s="23"/>
      <c r="G7" s="9"/>
      <c r="H7" s="9"/>
      <c r="I7" s="19"/>
      <c r="J7" s="28"/>
    </row>
    <row r="8" spans="2:10" ht="15.75" thickTop="1">
      <c r="B8" s="27"/>
      <c r="C8" s="10"/>
      <c r="D8" s="10"/>
      <c r="E8" s="10"/>
      <c r="F8" s="23" t="s">
        <v>13</v>
      </c>
      <c r="G8" s="9"/>
      <c r="H8" s="9"/>
      <c r="I8" s="19"/>
      <c r="J8" s="28"/>
    </row>
    <row r="9" spans="2:10" ht="15.75" thickBot="1">
      <c r="B9" s="27"/>
      <c r="C9" s="9"/>
      <c r="D9" s="10"/>
      <c r="E9" s="10"/>
      <c r="F9" s="18"/>
      <c r="G9" s="9"/>
      <c r="H9" s="9"/>
      <c r="I9" s="19"/>
      <c r="J9" s="28"/>
    </row>
    <row r="10" spans="2:10" ht="16.5" customHeight="1" thickTop="1" thickBot="1">
      <c r="B10" s="27"/>
      <c r="C10" s="67" t="s">
        <v>56</v>
      </c>
      <c r="D10" s="68"/>
      <c r="E10" s="10"/>
      <c r="F10" s="20"/>
      <c r="G10" s="21"/>
      <c r="H10" s="21"/>
      <c r="I10" s="22"/>
      <c r="J10" s="28"/>
    </row>
    <row r="11" spans="2:10" ht="16.5" thickTop="1" thickBot="1">
      <c r="B11" s="27"/>
      <c r="C11" s="32" t="s">
        <v>14</v>
      </c>
      <c r="D11" s="52">
        <v>12</v>
      </c>
      <c r="E11" s="10"/>
      <c r="F11" s="10"/>
      <c r="G11" s="10"/>
      <c r="H11" s="10"/>
      <c r="I11" s="10"/>
      <c r="J11" s="28"/>
    </row>
    <row r="12" spans="2:10" ht="16.5" thickTop="1" thickBot="1">
      <c r="B12" s="27"/>
      <c r="C12" s="33" t="s">
        <v>15</v>
      </c>
      <c r="D12" s="53">
        <v>12</v>
      </c>
      <c r="E12" s="10"/>
      <c r="F12" s="24"/>
      <c r="G12" s="25"/>
      <c r="H12" s="25"/>
      <c r="I12" s="26"/>
      <c r="J12" s="28"/>
    </row>
    <row r="13" spans="2:10" ht="16.5" thickTop="1" thickBot="1">
      <c r="B13" s="27"/>
      <c r="C13" s="34" t="s">
        <v>16</v>
      </c>
      <c r="D13" s="54">
        <v>0</v>
      </c>
      <c r="E13" s="35"/>
      <c r="F13" s="27"/>
      <c r="G13" s="10"/>
      <c r="H13" s="10"/>
      <c r="I13" s="28"/>
      <c r="J13" s="28"/>
    </row>
    <row r="14" spans="2:10" ht="16.5" thickTop="1" thickBot="1">
      <c r="B14" s="27"/>
      <c r="C14" s="34" t="s">
        <v>57</v>
      </c>
      <c r="D14" s="54" t="s">
        <v>81</v>
      </c>
      <c r="E14" s="10"/>
      <c r="F14" s="27"/>
      <c r="G14" s="10"/>
      <c r="H14" s="10"/>
      <c r="I14" s="28"/>
      <c r="J14" s="28"/>
    </row>
    <row r="15" spans="2:10" ht="15.75" thickTop="1">
      <c r="B15" s="27"/>
      <c r="C15" s="10"/>
      <c r="D15" s="10"/>
      <c r="E15" s="10"/>
      <c r="F15" s="64" t="s">
        <v>55</v>
      </c>
      <c r="G15" s="65"/>
      <c r="H15" s="65"/>
      <c r="I15" s="66"/>
      <c r="J15" s="28"/>
    </row>
    <row r="16" spans="2:10" ht="15.75" thickBot="1">
      <c r="B16" s="27"/>
      <c r="C16" s="10"/>
      <c r="D16" s="10"/>
      <c r="E16" s="10"/>
      <c r="F16" s="29"/>
      <c r="G16" s="30"/>
      <c r="H16" s="30"/>
      <c r="I16" s="31"/>
      <c r="J16" s="28"/>
    </row>
    <row r="17" spans="2:10" ht="15.75" thickTop="1">
      <c r="B17" s="27"/>
      <c r="C17" s="63" t="s">
        <v>11</v>
      </c>
      <c r="D17" s="63"/>
      <c r="E17" s="10"/>
      <c r="F17" s="10"/>
      <c r="G17" s="10"/>
      <c r="H17" s="10"/>
      <c r="I17" s="10"/>
      <c r="J17" s="28"/>
    </row>
    <row r="18" spans="2:10">
      <c r="B18" s="27"/>
      <c r="C18" s="13" t="s">
        <v>9</v>
      </c>
      <c r="E18" s="10"/>
      <c r="F18" s="10"/>
      <c r="G18" s="10"/>
      <c r="H18" s="10"/>
      <c r="I18" s="10"/>
      <c r="J18" s="28"/>
    </row>
    <row r="19" spans="2:10">
      <c r="B19" s="27"/>
      <c r="C19" s="10"/>
      <c r="D19" s="10"/>
      <c r="E19" s="10"/>
      <c r="F19" s="10"/>
      <c r="G19" s="10"/>
      <c r="H19" s="10"/>
      <c r="I19" s="10"/>
      <c r="J19" s="28"/>
    </row>
    <row r="20" spans="2:10">
      <c r="B20" s="27"/>
      <c r="C20" s="10"/>
      <c r="D20" s="10"/>
      <c r="E20" s="10"/>
      <c r="F20" s="10"/>
      <c r="G20" s="36" t="s">
        <v>10</v>
      </c>
      <c r="H20" s="10"/>
      <c r="I20" s="10"/>
      <c r="J20" s="28"/>
    </row>
    <row r="21" spans="2:10" ht="15.75" thickBot="1">
      <c r="B21" s="29"/>
      <c r="C21" s="30"/>
      <c r="D21" s="30"/>
      <c r="E21" s="30"/>
      <c r="F21" s="30"/>
      <c r="G21" s="30"/>
      <c r="H21" s="30"/>
      <c r="I21" s="30"/>
      <c r="J21" s="31"/>
    </row>
    <row r="22" spans="2:10" ht="15.75" thickTop="1"/>
  </sheetData>
  <mergeCells count="4">
    <mergeCell ref="C17:D17"/>
    <mergeCell ref="F15:I15"/>
    <mergeCell ref="C10:D10"/>
    <mergeCell ref="D1:E2"/>
  </mergeCells>
  <hyperlinks>
    <hyperlink ref="C18" location="'User Guide'!A2" display="User Guide"/>
  </hyperlink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porting">
                <anchor moveWithCells="1" sizeWithCells="1">
                  <from>
                    <xdr:col>6</xdr:col>
                    <xdr:colOff>200025</xdr:colOff>
                    <xdr:row>7</xdr:row>
                    <xdr:rowOff>0</xdr:rowOff>
                  </from>
                  <to>
                    <xdr:col>8</xdr:col>
                    <xdr:colOff>476250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ReportMerger">
                <anchor moveWithCells="1" sizeWithCells="1">
                  <from>
                    <xdr:col>6</xdr:col>
                    <xdr:colOff>180975</xdr:colOff>
                    <xdr:row>4</xdr:row>
                    <xdr:rowOff>152400</xdr:rowOff>
                  </from>
                  <to>
                    <xdr:col>8</xdr:col>
                    <xdr:colOff>447675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MergeAndGenerate">
                <anchor moveWithCells="1" sizeWithCells="1">
                  <from>
                    <xdr:col>5</xdr:col>
                    <xdr:colOff>466725</xdr:colOff>
                    <xdr:row>11</xdr:row>
                    <xdr:rowOff>171450</xdr:rowOff>
                  </from>
                  <to>
                    <xdr:col>8</xdr:col>
                    <xdr:colOff>161925</xdr:colOff>
                    <xdr:row>13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C12"/>
  <sheetViews>
    <sheetView tabSelected="1" workbookViewId="0">
      <selection activeCell="C12" sqref="C12"/>
    </sheetView>
  </sheetViews>
  <sheetFormatPr defaultRowHeight="15"/>
  <cols>
    <col min="1" max="1" width="9.140625" style="8"/>
    <col min="2" max="2" width="19.42578125" style="8" bestFit="1" customWidth="1"/>
    <col min="3" max="3" width="30.85546875" style="8" bestFit="1" customWidth="1"/>
    <col min="4" max="16384" width="9.140625" style="8"/>
  </cols>
  <sheetData>
    <row r="1" spans="2:3" ht="15.75" thickBot="1"/>
    <row r="2" spans="2:3" ht="16.5" thickTop="1" thickBot="1">
      <c r="B2" s="73" t="s">
        <v>29</v>
      </c>
      <c r="C2" s="74"/>
    </row>
    <row r="3" spans="2:3" ht="16.5" thickTop="1" thickBot="1">
      <c r="B3" s="42" t="s">
        <v>19</v>
      </c>
      <c r="C3" s="37" t="s">
        <v>27</v>
      </c>
    </row>
    <row r="4" spans="2:3" ht="16.5" thickTop="1" thickBot="1">
      <c r="B4" s="41" t="s">
        <v>20</v>
      </c>
      <c r="C4" s="39" t="s">
        <v>28</v>
      </c>
    </row>
    <row r="5" spans="2:3" ht="16.5" thickTop="1" thickBot="1">
      <c r="B5" s="42" t="s">
        <v>21</v>
      </c>
      <c r="C5" s="40" t="s">
        <v>64</v>
      </c>
    </row>
    <row r="6" spans="2:3" ht="16.5" thickTop="1" thickBot="1">
      <c r="B6" s="41" t="s">
        <v>22</v>
      </c>
      <c r="C6" s="39" t="s">
        <v>79</v>
      </c>
    </row>
    <row r="7" spans="2:3" ht="16.5" thickTop="1" thickBot="1">
      <c r="B7" s="41" t="s">
        <v>31</v>
      </c>
      <c r="C7" s="39" t="s">
        <v>30</v>
      </c>
    </row>
    <row r="8" spans="2:3" ht="16.5" thickTop="1" thickBot="1">
      <c r="B8" s="41" t="s">
        <v>23</v>
      </c>
      <c r="C8" s="57" t="s">
        <v>65</v>
      </c>
    </row>
    <row r="9" spans="2:3" ht="16.5" thickTop="1" thickBot="1">
      <c r="B9" s="43" t="s">
        <v>26</v>
      </c>
      <c r="C9" s="44" t="s">
        <v>66</v>
      </c>
    </row>
    <row r="10" spans="2:3" ht="16.5" thickTop="1" thickBot="1">
      <c r="B10" s="41" t="s">
        <v>24</v>
      </c>
      <c r="C10" s="39">
        <v>69</v>
      </c>
    </row>
    <row r="11" spans="2:3" ht="16.5" thickTop="1" thickBot="1">
      <c r="B11" s="43" t="s">
        <v>25</v>
      </c>
      <c r="C11" s="38">
        <v>90</v>
      </c>
    </row>
    <row r="12" spans="2:3" ht="15.75" thickTop="1"/>
  </sheetData>
  <mergeCells count="1">
    <mergeCell ref="B2:C2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91"/>
  <sheetViews>
    <sheetView workbookViewId="0">
      <selection activeCell="C91" sqref="C2:C91"/>
    </sheetView>
  </sheetViews>
  <sheetFormatPr defaultRowHeight="12.75"/>
  <cols>
    <col min="1" max="1" width="7.140625" style="3" customWidth="1"/>
    <col min="2" max="2" width="66.140625" style="4" customWidth="1"/>
    <col min="3" max="3" width="44.7109375" style="4" customWidth="1"/>
    <col min="4" max="4" width="15.28515625" style="4" bestFit="1" customWidth="1"/>
    <col min="5" max="5" width="12.85546875" style="1" bestFit="1" customWidth="1"/>
    <col min="6" max="6" width="12.42578125" style="4" bestFit="1" customWidth="1"/>
    <col min="7" max="8" width="12.42578125" style="4" customWidth="1"/>
    <col min="9" max="16384" width="9.140625" style="2"/>
  </cols>
  <sheetData>
    <row r="1" spans="1:8" ht="15.75">
      <c r="A1" s="5" t="s">
        <v>5</v>
      </c>
      <c r="B1" s="5" t="s">
        <v>0</v>
      </c>
      <c r="C1" s="5" t="s">
        <v>6</v>
      </c>
      <c r="D1" s="5" t="s">
        <v>1</v>
      </c>
      <c r="E1" s="5" t="s">
        <v>3</v>
      </c>
      <c r="F1" s="5" t="s">
        <v>2</v>
      </c>
      <c r="G1" s="5" t="s">
        <v>17</v>
      </c>
      <c r="H1" s="5" t="s">
        <v>18</v>
      </c>
    </row>
    <row r="2" spans="1:8" s="58" customFormat="1">
      <c r="A2" s="6">
        <v>1</v>
      </c>
      <c r="B2" s="88" t="s">
        <v>84</v>
      </c>
      <c r="C2" s="87" t="str">
        <f>RIGHT(B2,(LEN(B2)-3))</f>
        <v>OPF_SDDI_BS001_TS001_TC010_B2B_OOFF</v>
      </c>
      <c r="D2" s="60" t="s">
        <v>63</v>
      </c>
      <c r="E2" s="7"/>
      <c r="F2" s="59" t="s">
        <v>61</v>
      </c>
      <c r="G2" s="14" t="s">
        <v>161</v>
      </c>
      <c r="H2" s="14" t="s">
        <v>4</v>
      </c>
    </row>
    <row r="3" spans="1:8" s="58" customFormat="1">
      <c r="A3" s="6">
        <f>A2+1</f>
        <v>2</v>
      </c>
      <c r="B3" s="89" t="s">
        <v>85</v>
      </c>
      <c r="C3" s="87" t="str">
        <f t="shared" ref="C3:C66" si="0">RIGHT(B3,(LEN(B3)-3))</f>
        <v>OPF_SDDI_BS001_TS001_TC001_CORE_OOFF</v>
      </c>
      <c r="D3" s="60" t="s">
        <v>63</v>
      </c>
      <c r="E3" s="7"/>
      <c r="F3" s="59" t="s">
        <v>61</v>
      </c>
      <c r="G3" s="14" t="s">
        <v>162</v>
      </c>
      <c r="H3" s="14" t="s">
        <v>4</v>
      </c>
    </row>
    <row r="4" spans="1:8" s="58" customFormat="1" ht="25.5">
      <c r="A4" s="6">
        <f t="shared" ref="A4:A67" si="1">A3+1</f>
        <v>3</v>
      </c>
      <c r="B4" s="88" t="s">
        <v>86</v>
      </c>
      <c r="C4" s="87" t="str">
        <f t="shared" si="0"/>
        <v>OPF_SDDI_BS001_TS001_TC060_Blacklist with Worklistitem via RIB and RFLP</v>
      </c>
      <c r="D4" s="60" t="s">
        <v>63</v>
      </c>
      <c r="E4" s="7"/>
      <c r="F4" s="62" t="s">
        <v>61</v>
      </c>
      <c r="G4" s="14" t="s">
        <v>161</v>
      </c>
      <c r="H4" s="14" t="s">
        <v>4</v>
      </c>
    </row>
    <row r="5" spans="1:8" s="58" customFormat="1" ht="25.5">
      <c r="A5" s="6">
        <f t="shared" si="1"/>
        <v>4</v>
      </c>
      <c r="B5" s="88" t="s">
        <v>87</v>
      </c>
      <c r="C5" s="87" t="str">
        <f t="shared" si="0"/>
        <v>OPF_SDDI_BS001_TS001_TC060_Blacklist with Worklistitem via RIB and RFLP</v>
      </c>
      <c r="D5" s="60" t="s">
        <v>63</v>
      </c>
      <c r="E5" s="7"/>
      <c r="F5" s="62" t="s">
        <v>61</v>
      </c>
      <c r="G5" s="14" t="s">
        <v>161</v>
      </c>
      <c r="H5" s="14" t="s">
        <v>4</v>
      </c>
    </row>
    <row r="6" spans="1:8" ht="25.5">
      <c r="A6" s="6">
        <f t="shared" si="1"/>
        <v>5</v>
      </c>
      <c r="B6" s="89" t="s">
        <v>88</v>
      </c>
      <c r="C6" s="87" t="str">
        <f t="shared" si="0"/>
        <v>OPF_SDDI_BS001_TS001_TC070_Mandate Check Scenario H</v>
      </c>
      <c r="D6" s="60" t="s">
        <v>63</v>
      </c>
      <c r="E6" s="7"/>
      <c r="F6" s="62" t="s">
        <v>61</v>
      </c>
      <c r="G6" s="14" t="s">
        <v>161</v>
      </c>
      <c r="H6" s="14" t="s">
        <v>4</v>
      </c>
    </row>
    <row r="7" spans="1:8">
      <c r="A7" s="6">
        <f t="shared" si="1"/>
        <v>6</v>
      </c>
      <c r="B7" s="88" t="s">
        <v>89</v>
      </c>
      <c r="C7" s="87" t="str">
        <f t="shared" si="0"/>
        <v>OPF_SDDI_BS001_TS001_TC080_B2B-FRST Accounting D</v>
      </c>
      <c r="D7" s="60" t="s">
        <v>63</v>
      </c>
      <c r="F7" s="62" t="s">
        <v>61</v>
      </c>
      <c r="G7" s="14" t="s">
        <v>161</v>
      </c>
      <c r="H7" s="14" t="s">
        <v>4</v>
      </c>
    </row>
    <row r="8" spans="1:8">
      <c r="A8" s="6">
        <f t="shared" si="1"/>
        <v>7</v>
      </c>
      <c r="B8" s="88" t="s">
        <v>90</v>
      </c>
      <c r="C8" s="87" t="str">
        <f t="shared" si="0"/>
        <v>OPF_SDDI_BS001_TS001_TC080_B2B-FRST Accounting D</v>
      </c>
      <c r="D8" s="60" t="s">
        <v>63</v>
      </c>
      <c r="E8" s="7"/>
      <c r="F8" s="62" t="s">
        <v>61</v>
      </c>
      <c r="G8" s="14" t="s">
        <v>161</v>
      </c>
      <c r="H8" s="14" t="s">
        <v>4</v>
      </c>
    </row>
    <row r="9" spans="1:8">
      <c r="A9" s="6">
        <f t="shared" si="1"/>
        <v>8</v>
      </c>
      <c r="B9" s="88" t="s">
        <v>91</v>
      </c>
      <c r="C9" s="87" t="str">
        <f t="shared" si="0"/>
        <v>OPF_SDDI_BS001_TS001_TC080_B2B-FRST Accounting D</v>
      </c>
      <c r="D9" s="60" t="s">
        <v>63</v>
      </c>
      <c r="E9" s="7"/>
      <c r="F9" s="62" t="s">
        <v>61</v>
      </c>
      <c r="G9" s="14" t="s">
        <v>162</v>
      </c>
      <c r="H9" s="14" t="s">
        <v>4</v>
      </c>
    </row>
    <row r="10" spans="1:8" ht="25.5">
      <c r="A10" s="6">
        <f t="shared" si="1"/>
        <v>9</v>
      </c>
      <c r="B10" s="89" t="s">
        <v>92</v>
      </c>
      <c r="C10" s="87" t="str">
        <f t="shared" si="0"/>
        <v>OPF_SDDI_BS001_TS001_TC150_B2B Time-line validation failed</v>
      </c>
      <c r="D10" s="60" t="s">
        <v>63</v>
      </c>
      <c r="E10" s="7"/>
      <c r="F10" s="62" t="s">
        <v>61</v>
      </c>
      <c r="G10" s="14" t="s">
        <v>4</v>
      </c>
      <c r="H10" s="14" t="s">
        <v>4</v>
      </c>
    </row>
    <row r="11" spans="1:8" ht="25.5">
      <c r="A11" s="6">
        <f t="shared" si="1"/>
        <v>10</v>
      </c>
      <c r="B11" s="88" t="s">
        <v>93</v>
      </c>
      <c r="C11" s="87" t="str">
        <f t="shared" si="0"/>
        <v>OPF_SDDI_BS001_TS001_TC160_CORE Time-line validation failed</v>
      </c>
      <c r="D11" s="60" t="s">
        <v>63</v>
      </c>
      <c r="E11" s="14"/>
      <c r="F11" s="62" t="s">
        <v>61</v>
      </c>
      <c r="G11" s="14" t="s">
        <v>162</v>
      </c>
      <c r="H11" s="14" t="s">
        <v>4</v>
      </c>
    </row>
    <row r="12" spans="1:8" ht="25.5">
      <c r="A12" s="6">
        <f t="shared" si="1"/>
        <v>11</v>
      </c>
      <c r="B12" s="89" t="s">
        <v>94</v>
      </c>
      <c r="C12" s="87" t="str">
        <f t="shared" si="0"/>
        <v>OPF_SDDI_BS001_TS001_TC180_Instruction Declined for Higher  Amount</v>
      </c>
      <c r="D12" s="60" t="s">
        <v>63</v>
      </c>
      <c r="E12" s="14"/>
      <c r="F12" s="62" t="s">
        <v>61</v>
      </c>
      <c r="G12" s="14" t="s">
        <v>161</v>
      </c>
      <c r="H12" s="14" t="s">
        <v>4</v>
      </c>
    </row>
    <row r="13" spans="1:8">
      <c r="A13" s="6">
        <f t="shared" si="1"/>
        <v>12</v>
      </c>
      <c r="B13" s="88" t="s">
        <v>95</v>
      </c>
      <c r="C13" s="87" t="str">
        <f t="shared" si="0"/>
        <v>OPF_SDDI_BS001_TS001_TC190_Later Execution Date</v>
      </c>
      <c r="D13" s="60" t="s">
        <v>63</v>
      </c>
      <c r="E13" s="14"/>
      <c r="F13" s="62" t="s">
        <v>61</v>
      </c>
      <c r="G13" s="14" t="s">
        <v>161</v>
      </c>
      <c r="H13" s="14" t="s">
        <v>4</v>
      </c>
    </row>
    <row r="14" spans="1:8" ht="25.5">
      <c r="A14" s="6">
        <f t="shared" si="1"/>
        <v>13</v>
      </c>
      <c r="B14" s="89" t="s">
        <v>96</v>
      </c>
      <c r="C14" s="87" t="str">
        <f t="shared" si="0"/>
        <v>OPF_SDDI_BS001_TS001_TC200_Overridden Settlement Date</v>
      </c>
      <c r="D14" s="60" t="s">
        <v>63</v>
      </c>
      <c r="E14" s="14"/>
      <c r="F14" s="62" t="s">
        <v>61</v>
      </c>
      <c r="G14" s="14" t="s">
        <v>161</v>
      </c>
      <c r="H14" s="14" t="s">
        <v>4</v>
      </c>
    </row>
    <row r="15" spans="1:8" ht="25.5">
      <c r="A15" s="6">
        <f t="shared" si="1"/>
        <v>14</v>
      </c>
      <c r="B15" s="88" t="s">
        <v>97</v>
      </c>
      <c r="C15" s="87" t="str">
        <f t="shared" si="0"/>
        <v>OPF_SDDI_BS001_TS010_TC001_Overstaptable New BIC RABO</v>
      </c>
      <c r="D15" s="60" t="s">
        <v>63</v>
      </c>
      <c r="E15" s="14"/>
      <c r="F15" s="62" t="s">
        <v>61</v>
      </c>
      <c r="G15" s="14" t="s">
        <v>161</v>
      </c>
      <c r="H15" s="14" t="s">
        <v>4</v>
      </c>
    </row>
    <row r="16" spans="1:8" ht="25.5">
      <c r="A16" s="6">
        <f t="shared" si="1"/>
        <v>15</v>
      </c>
      <c r="B16" s="89" t="s">
        <v>98</v>
      </c>
      <c r="C16" s="87" t="str">
        <f t="shared" si="0"/>
        <v>OPF_SDDI_BS001_TS010_TC010_Overstaptable Old BIC RABO</v>
      </c>
      <c r="D16" s="60" t="s">
        <v>63</v>
      </c>
      <c r="E16" s="14"/>
      <c r="F16" s="62" t="s">
        <v>61</v>
      </c>
      <c r="G16" s="14" t="s">
        <v>161</v>
      </c>
      <c r="H16" s="14" t="s">
        <v>4</v>
      </c>
    </row>
    <row r="17" spans="1:8" ht="25.5">
      <c r="A17" s="6">
        <f t="shared" si="1"/>
        <v>16</v>
      </c>
      <c r="B17" s="88" t="s">
        <v>99</v>
      </c>
      <c r="C17" s="87" t="str">
        <f t="shared" si="0"/>
        <v>OPF_SDDI_BS001_TS010_TC020_Invalid exchange condition</v>
      </c>
      <c r="D17" s="61" t="s">
        <v>163</v>
      </c>
      <c r="E17" s="14"/>
      <c r="F17" s="62" t="s">
        <v>61</v>
      </c>
      <c r="G17" s="14" t="s">
        <v>161</v>
      </c>
      <c r="H17" s="14" t="s">
        <v>4</v>
      </c>
    </row>
    <row r="18" spans="1:8" ht="25.5">
      <c r="A18" s="6">
        <f t="shared" si="1"/>
        <v>17</v>
      </c>
      <c r="B18" s="89" t="s">
        <v>100</v>
      </c>
      <c r="C18" s="87" t="str">
        <f t="shared" si="0"/>
        <v>OPF_SDDI_BS001_TS010_TC030_Non xml file and Not Authorized for DDI</v>
      </c>
      <c r="D18" s="60" t="s">
        <v>63</v>
      </c>
      <c r="E18" s="14"/>
      <c r="F18" s="62" t="s">
        <v>61</v>
      </c>
      <c r="G18" s="14" t="s">
        <v>161</v>
      </c>
      <c r="H18" s="14" t="s">
        <v>4</v>
      </c>
    </row>
    <row r="19" spans="1:8" ht="25.5">
      <c r="A19" s="6">
        <f t="shared" si="1"/>
        <v>18</v>
      </c>
      <c r="B19" s="89" t="s">
        <v>101</v>
      </c>
      <c r="C19" s="87" t="str">
        <f t="shared" si="0"/>
        <v>OPF_SDDI_BS001_TS010_TC030_Non xml file and Not Authorized for DDI</v>
      </c>
      <c r="D19" s="60" t="s">
        <v>63</v>
      </c>
      <c r="E19" s="14"/>
      <c r="F19" s="62" t="s">
        <v>61</v>
      </c>
      <c r="G19" s="14" t="s">
        <v>161</v>
      </c>
      <c r="H19" s="14" t="s">
        <v>4</v>
      </c>
    </row>
    <row r="20" spans="1:8">
      <c r="A20" s="6">
        <f t="shared" si="1"/>
        <v>19</v>
      </c>
      <c r="B20" s="89" t="s">
        <v>102</v>
      </c>
      <c r="C20" s="87" t="str">
        <f t="shared" si="0"/>
        <v>OPF_SDDI_BS001_TS010_TC050_Duplicate transaction</v>
      </c>
      <c r="D20" s="60" t="s">
        <v>63</v>
      </c>
      <c r="E20" s="14"/>
      <c r="F20" s="62" t="s">
        <v>61</v>
      </c>
      <c r="G20" s="14" t="s">
        <v>161</v>
      </c>
      <c r="H20" s="14" t="s">
        <v>4</v>
      </c>
    </row>
    <row r="21" spans="1:8" ht="25.5">
      <c r="A21" s="6">
        <f t="shared" si="1"/>
        <v>20</v>
      </c>
      <c r="B21" s="89" t="s">
        <v>103</v>
      </c>
      <c r="C21" s="87" t="str">
        <f t="shared" si="0"/>
        <v>OPF_SDDI_BS001_TS010_TC060_Higher Instruction Amount</v>
      </c>
      <c r="D21" s="60" t="s">
        <v>63</v>
      </c>
      <c r="E21" s="14"/>
      <c r="F21" s="62" t="s">
        <v>61</v>
      </c>
      <c r="G21" s="14" t="s">
        <v>161</v>
      </c>
      <c r="H21" s="14" t="s">
        <v>4</v>
      </c>
    </row>
    <row r="22" spans="1:8" ht="25.5">
      <c r="A22" s="6">
        <f t="shared" si="1"/>
        <v>21</v>
      </c>
      <c r="B22" s="88" t="s">
        <v>104</v>
      </c>
      <c r="C22" s="87" t="str">
        <f t="shared" si="0"/>
        <v>OPF_SDDI_BS001_TS010_TC070_Mandate Unavailable for CORE and B2B</v>
      </c>
      <c r="D22" s="60" t="s">
        <v>63</v>
      </c>
      <c r="E22" s="14"/>
      <c r="F22" s="62" t="s">
        <v>61</v>
      </c>
      <c r="G22" s="14" t="s">
        <v>161</v>
      </c>
      <c r="H22" s="14" t="s">
        <v>4</v>
      </c>
    </row>
    <row r="23" spans="1:8" ht="25.5">
      <c r="A23" s="6">
        <f t="shared" si="1"/>
        <v>22</v>
      </c>
      <c r="B23" s="88" t="s">
        <v>105</v>
      </c>
      <c r="C23" s="87" t="str">
        <f t="shared" si="0"/>
        <v>OPF_SDDI_BS001_TS010_TC070_Mandate Unavailable for CORE and B2B</v>
      </c>
      <c r="D23" s="60" t="s">
        <v>63</v>
      </c>
      <c r="E23" s="14"/>
      <c r="F23" s="62" t="s">
        <v>61</v>
      </c>
      <c r="G23" s="14" t="s">
        <v>162</v>
      </c>
      <c r="H23" s="14" t="s">
        <v>4</v>
      </c>
    </row>
    <row r="24" spans="1:8">
      <c r="A24" s="6">
        <f t="shared" si="1"/>
        <v>23</v>
      </c>
      <c r="B24" s="89" t="s">
        <v>106</v>
      </c>
      <c r="C24" s="87" t="str">
        <f t="shared" si="0"/>
        <v>OPF_SDDI_BS001_TS010_TC090_No Error</v>
      </c>
      <c r="D24" s="60" t="s">
        <v>63</v>
      </c>
      <c r="E24" s="14"/>
      <c r="F24" s="62" t="s">
        <v>61</v>
      </c>
      <c r="G24" s="14" t="s">
        <v>161</v>
      </c>
      <c r="H24" s="14" t="s">
        <v>4</v>
      </c>
    </row>
    <row r="25" spans="1:8">
      <c r="A25" s="6">
        <f t="shared" si="1"/>
        <v>24</v>
      </c>
      <c r="B25" s="88" t="s">
        <v>107</v>
      </c>
      <c r="C25" s="87" t="str">
        <f t="shared" si="0"/>
        <v>OPF_SDDI_BS001_TS010_TC100_Incorrect control sum</v>
      </c>
      <c r="D25" s="60" t="s">
        <v>63</v>
      </c>
      <c r="E25" s="14"/>
      <c r="F25" s="62" t="s">
        <v>61</v>
      </c>
      <c r="G25" s="14" t="s">
        <v>161</v>
      </c>
      <c r="H25" s="14" t="s">
        <v>4</v>
      </c>
    </row>
    <row r="26" spans="1:8">
      <c r="A26" s="6">
        <f t="shared" si="1"/>
        <v>25</v>
      </c>
      <c r="B26" s="89" t="s">
        <v>108</v>
      </c>
      <c r="C26" s="87" t="str">
        <f t="shared" si="0"/>
        <v>OPF_SDDI_BS001_TS010_TC110_BIC unavailable</v>
      </c>
      <c r="D26" s="60" t="s">
        <v>63</v>
      </c>
      <c r="E26" s="14"/>
      <c r="F26" s="62" t="s">
        <v>61</v>
      </c>
      <c r="G26" s="14" t="s">
        <v>161</v>
      </c>
      <c r="H26" s="14" t="s">
        <v>4</v>
      </c>
    </row>
    <row r="27" spans="1:8">
      <c r="A27" s="6">
        <f t="shared" si="1"/>
        <v>26</v>
      </c>
      <c r="B27" s="88" t="s">
        <v>109</v>
      </c>
      <c r="C27" s="87" t="str">
        <f t="shared" si="0"/>
        <v>OPF_SDDI_BS001_TS020_TC001_Max characters</v>
      </c>
      <c r="D27" s="60" t="s">
        <v>63</v>
      </c>
      <c r="E27" s="14"/>
      <c r="F27" s="62" t="s">
        <v>61</v>
      </c>
      <c r="G27" s="14" t="s">
        <v>161</v>
      </c>
      <c r="H27" s="14" t="s">
        <v>4</v>
      </c>
    </row>
    <row r="28" spans="1:8">
      <c r="A28" s="6">
        <f t="shared" si="1"/>
        <v>27</v>
      </c>
      <c r="B28" s="89" t="s">
        <v>110</v>
      </c>
      <c r="C28" s="87" t="str">
        <f t="shared" si="0"/>
        <v>OPF_SDDI_BS001_TS020_TC010_Multiple Instructions</v>
      </c>
      <c r="D28" s="60" t="s">
        <v>63</v>
      </c>
      <c r="E28" s="14"/>
      <c r="F28" s="62" t="s">
        <v>61</v>
      </c>
      <c r="G28" s="14" t="s">
        <v>161</v>
      </c>
      <c r="H28" s="14" t="s">
        <v>4</v>
      </c>
    </row>
    <row r="29" spans="1:8">
      <c r="A29" s="6">
        <f t="shared" si="1"/>
        <v>28</v>
      </c>
      <c r="B29" s="88" t="s">
        <v>111</v>
      </c>
      <c r="C29" s="87" t="str">
        <f t="shared" si="0"/>
        <v>OPF_SDDI_BS001_TS020_TC020_Duplicate Instruction</v>
      </c>
      <c r="D29" s="61" t="s">
        <v>163</v>
      </c>
      <c r="E29" s="14"/>
      <c r="F29" s="62" t="s">
        <v>61</v>
      </c>
      <c r="G29" s="14" t="s">
        <v>161</v>
      </c>
      <c r="H29" s="14" t="s">
        <v>4</v>
      </c>
    </row>
    <row r="30" spans="1:8" ht="25.5">
      <c r="A30" s="6">
        <f t="shared" si="1"/>
        <v>29</v>
      </c>
      <c r="B30" s="89" t="s">
        <v>112</v>
      </c>
      <c r="C30" s="87" t="str">
        <f t="shared" si="0"/>
        <v>OPF_SDDI_BS001_TS030_TC001_Duplicate E2E-ID and Without E2EID in ORM</v>
      </c>
      <c r="D30" s="60" t="s">
        <v>63</v>
      </c>
      <c r="E30" s="14"/>
      <c r="F30" s="62" t="s">
        <v>61</v>
      </c>
      <c r="G30" s="14" t="s">
        <v>161</v>
      </c>
      <c r="H30" s="14" t="s">
        <v>4</v>
      </c>
    </row>
    <row r="31" spans="1:8" ht="25.5">
      <c r="A31" s="6">
        <f t="shared" si="1"/>
        <v>30</v>
      </c>
      <c r="B31" s="89" t="s">
        <v>113</v>
      </c>
      <c r="C31" s="87" t="str">
        <f t="shared" si="0"/>
        <v>OPF_SDDI_BS001_TS030_TC001_Duplicate E2E-ID and Without E2EID in ORM</v>
      </c>
      <c r="D31" s="60" t="s">
        <v>63</v>
      </c>
      <c r="E31" s="14"/>
      <c r="F31" s="62" t="s">
        <v>61</v>
      </c>
      <c r="G31" s="14" t="s">
        <v>161</v>
      </c>
      <c r="H31" s="14" t="s">
        <v>4</v>
      </c>
    </row>
    <row r="32" spans="1:8" ht="25.5">
      <c r="A32" s="6">
        <f t="shared" si="1"/>
        <v>31</v>
      </c>
      <c r="B32" s="88" t="s">
        <v>114</v>
      </c>
      <c r="C32" s="87" t="str">
        <f t="shared" si="0"/>
        <v>OPF_SDDI_BS001_TS030_TC020_Duplicate E2E-ID and Without E2EID in PEX</v>
      </c>
      <c r="D32" s="60" t="s">
        <v>63</v>
      </c>
      <c r="E32" s="14"/>
      <c r="F32" s="62" t="s">
        <v>61</v>
      </c>
      <c r="G32" s="14" t="s">
        <v>161</v>
      </c>
      <c r="H32" s="14" t="s">
        <v>4</v>
      </c>
    </row>
    <row r="33" spans="1:8" ht="25.5">
      <c r="A33" s="6">
        <f t="shared" si="1"/>
        <v>32</v>
      </c>
      <c r="B33" s="88" t="s">
        <v>115</v>
      </c>
      <c r="C33" s="87" t="str">
        <f t="shared" si="0"/>
        <v>OPF_SDDI_BS001_TS030_TC020_Duplicate E2E-ID and Without E2EID in PEX</v>
      </c>
      <c r="D33" s="60" t="s">
        <v>63</v>
      </c>
      <c r="E33" s="14"/>
      <c r="F33" s="62" t="s">
        <v>61</v>
      </c>
      <c r="G33" s="14" t="s">
        <v>161</v>
      </c>
      <c r="H33" s="14" t="s">
        <v>4</v>
      </c>
    </row>
    <row r="34" spans="1:8">
      <c r="A34" s="6">
        <f t="shared" si="1"/>
        <v>33</v>
      </c>
      <c r="B34" s="89" t="s">
        <v>116</v>
      </c>
      <c r="C34" s="87" t="str">
        <f t="shared" si="0"/>
        <v>OPF_SDDI_BS001_TS030_TC040_E2EID NOT PROVIDED</v>
      </c>
      <c r="D34" s="60" t="s">
        <v>63</v>
      </c>
      <c r="E34" s="14"/>
      <c r="F34" s="62" t="s">
        <v>61</v>
      </c>
      <c r="G34" s="14" t="s">
        <v>161</v>
      </c>
      <c r="H34" s="14" t="s">
        <v>4</v>
      </c>
    </row>
    <row r="35" spans="1:8">
      <c r="A35" s="6">
        <f t="shared" si="1"/>
        <v>34</v>
      </c>
      <c r="B35" s="88" t="s">
        <v>117</v>
      </c>
      <c r="C35" s="87" t="str">
        <f t="shared" si="0"/>
        <v>OPF_SDDI_BS001_TS040_TC001_Three from RIB fail</v>
      </c>
      <c r="D35" s="60" t="s">
        <v>63</v>
      </c>
      <c r="E35" s="14"/>
      <c r="F35" s="62" t="s">
        <v>61</v>
      </c>
      <c r="G35" s="14" t="s">
        <v>161</v>
      </c>
      <c r="H35" s="14" t="s">
        <v>4</v>
      </c>
    </row>
    <row r="36" spans="1:8">
      <c r="A36" s="6">
        <f t="shared" si="1"/>
        <v>35</v>
      </c>
      <c r="B36" s="89" t="s">
        <v>118</v>
      </c>
      <c r="C36" s="87" t="str">
        <f t="shared" si="0"/>
        <v>OPF_SDDI_BS001_TS040_TC010_Two from RIB fail</v>
      </c>
      <c r="D36" s="60" t="s">
        <v>63</v>
      </c>
      <c r="E36" s="14"/>
      <c r="F36" s="62" t="s">
        <v>61</v>
      </c>
      <c r="G36" s="14" t="s">
        <v>161</v>
      </c>
      <c r="H36" s="14" t="s">
        <v>4</v>
      </c>
    </row>
    <row r="37" spans="1:8">
      <c r="A37" s="6">
        <f t="shared" si="1"/>
        <v>36</v>
      </c>
      <c r="B37" s="88" t="s">
        <v>119</v>
      </c>
      <c r="C37" s="87" t="str">
        <f t="shared" si="0"/>
        <v>OPF_SDDI_BS001_TS040_TC020_Three from RCM Fail</v>
      </c>
      <c r="D37" s="60" t="s">
        <v>63</v>
      </c>
      <c r="E37" s="14"/>
      <c r="F37" s="62" t="s">
        <v>61</v>
      </c>
      <c r="G37" s="14" t="s">
        <v>161</v>
      </c>
      <c r="H37" s="14" t="s">
        <v>4</v>
      </c>
    </row>
    <row r="38" spans="1:8">
      <c r="A38" s="6">
        <f t="shared" si="1"/>
        <v>37</v>
      </c>
      <c r="B38" s="89" t="s">
        <v>120</v>
      </c>
      <c r="C38" s="87" t="str">
        <f t="shared" si="0"/>
        <v>OPF_SDDI_BS001_TS040_TC030_Two from RCM fail</v>
      </c>
      <c r="D38" s="60" t="s">
        <v>63</v>
      </c>
      <c r="E38" s="14"/>
      <c r="F38" s="62" t="s">
        <v>61</v>
      </c>
      <c r="G38" s="14" t="s">
        <v>161</v>
      </c>
      <c r="H38" s="14" t="s">
        <v>4</v>
      </c>
    </row>
    <row r="39" spans="1:8" ht="25.5">
      <c r="A39" s="6">
        <f t="shared" si="1"/>
        <v>38</v>
      </c>
      <c r="B39" s="88" t="s">
        <v>121</v>
      </c>
      <c r="C39" s="87" t="str">
        <f t="shared" si="0"/>
        <v>OPF_SDDI_BS010_TS001_TC001_B2B and CORE DDI OU Reject</v>
      </c>
      <c r="D39" s="60" t="s">
        <v>63</v>
      </c>
      <c r="E39" s="14"/>
      <c r="F39" s="62" t="s">
        <v>61</v>
      </c>
      <c r="G39" s="14" t="s">
        <v>161</v>
      </c>
      <c r="H39" s="14" t="s">
        <v>4</v>
      </c>
    </row>
    <row r="40" spans="1:8" ht="25.5">
      <c r="A40" s="6">
        <f t="shared" si="1"/>
        <v>39</v>
      </c>
      <c r="B40" s="88" t="s">
        <v>122</v>
      </c>
      <c r="C40" s="87" t="str">
        <f t="shared" si="0"/>
        <v>OPF_SDDI_BS010_TS001_TC001_B2B and CORE DDI OU Reject</v>
      </c>
      <c r="D40" s="60" t="s">
        <v>63</v>
      </c>
      <c r="E40" s="14"/>
      <c r="F40" s="62" t="s">
        <v>61</v>
      </c>
      <c r="G40" s="14" t="s">
        <v>162</v>
      </c>
      <c r="H40" s="14" t="s">
        <v>4</v>
      </c>
    </row>
    <row r="41" spans="1:8" ht="25.5">
      <c r="A41" s="6">
        <f t="shared" si="1"/>
        <v>40</v>
      </c>
      <c r="B41" s="89" t="s">
        <v>123</v>
      </c>
      <c r="C41" s="87" t="str">
        <f t="shared" si="0"/>
        <v>OPF_SDDI_BS010_TS001_TC020_CORE and B2B DDI NOU Reject</v>
      </c>
      <c r="D41" s="60" t="s">
        <v>63</v>
      </c>
      <c r="E41" s="14"/>
      <c r="F41" s="62" t="s">
        <v>61</v>
      </c>
      <c r="G41" s="14" t="s">
        <v>161</v>
      </c>
      <c r="H41" s="14" t="s">
        <v>4</v>
      </c>
    </row>
    <row r="42" spans="1:8" ht="25.5">
      <c r="A42" s="6">
        <f t="shared" si="1"/>
        <v>41</v>
      </c>
      <c r="B42" s="89" t="s">
        <v>124</v>
      </c>
      <c r="C42" s="87" t="str">
        <f t="shared" si="0"/>
        <v>OPF_SDDI_BS010_TS001_TC020_CORE and B2B DDI NOU Reject</v>
      </c>
      <c r="D42" s="60" t="s">
        <v>63</v>
      </c>
      <c r="E42" s="14"/>
      <c r="F42" s="62" t="s">
        <v>61</v>
      </c>
      <c r="G42" s="14" t="s">
        <v>162</v>
      </c>
      <c r="H42" s="14" t="s">
        <v>4</v>
      </c>
    </row>
    <row r="43" spans="1:8">
      <c r="A43" s="6">
        <f t="shared" si="1"/>
        <v>42</v>
      </c>
      <c r="B43" s="88" t="s">
        <v>125</v>
      </c>
      <c r="C43" s="87" t="str">
        <f t="shared" si="0"/>
        <v>OPF_SDDI_BS010_TS001_TC040_pacs002 loaded D+1</v>
      </c>
      <c r="D43" s="60" t="s">
        <v>63</v>
      </c>
      <c r="E43" s="14"/>
      <c r="F43" s="62" t="s">
        <v>61</v>
      </c>
      <c r="G43" s="14" t="s">
        <v>161</v>
      </c>
      <c r="H43" s="14" t="s">
        <v>82</v>
      </c>
    </row>
    <row r="44" spans="1:8" ht="25.5">
      <c r="A44" s="6">
        <f t="shared" si="1"/>
        <v>43</v>
      </c>
      <c r="B44" s="88" t="s">
        <v>126</v>
      </c>
      <c r="C44" s="87" t="str">
        <f t="shared" si="0"/>
        <v>OPF_SDDI_BS040_TS001_TC001_B2B OU DDI Cancelled on D-1</v>
      </c>
      <c r="D44" s="60" t="s">
        <v>63</v>
      </c>
      <c r="E44" s="14"/>
      <c r="F44" s="62" t="s">
        <v>61</v>
      </c>
      <c r="G44" s="14" t="s">
        <v>161</v>
      </c>
      <c r="H44" s="14" t="s">
        <v>164</v>
      </c>
    </row>
    <row r="45" spans="1:8">
      <c r="A45" s="6">
        <f t="shared" si="1"/>
        <v>44</v>
      </c>
      <c r="B45" s="90" t="s">
        <v>127</v>
      </c>
      <c r="C45" s="87" t="str">
        <f t="shared" si="0"/>
        <v>OPF_SDDI_BS040_TS001_TC020_B2B NOU DDI Cancelled on D-1</v>
      </c>
      <c r="D45" s="60" t="s">
        <v>63</v>
      </c>
      <c r="E45" s="14"/>
      <c r="F45" s="62" t="s">
        <v>61</v>
      </c>
      <c r="G45" s="14" t="s">
        <v>161</v>
      </c>
      <c r="H45" s="14" t="s">
        <v>164</v>
      </c>
    </row>
    <row r="46" spans="1:8">
      <c r="A46" s="6">
        <f t="shared" si="1"/>
        <v>45</v>
      </c>
      <c r="B46" s="90" t="s">
        <v>128</v>
      </c>
      <c r="C46" s="87" t="str">
        <f t="shared" si="0"/>
        <v>OPF_SDDI_BS050_TS001_TC001_B2B OU DDI Cancelled on D+1</v>
      </c>
      <c r="D46" s="60" t="s">
        <v>63</v>
      </c>
      <c r="E46" s="14"/>
      <c r="F46" s="62" t="s">
        <v>61</v>
      </c>
      <c r="G46" s="14" t="s">
        <v>161</v>
      </c>
      <c r="H46" s="14" t="s">
        <v>82</v>
      </c>
    </row>
    <row r="47" spans="1:8">
      <c r="A47" s="6">
        <f t="shared" si="1"/>
        <v>46</v>
      </c>
      <c r="B47" s="91" t="s">
        <v>129</v>
      </c>
      <c r="C47" s="87" t="str">
        <f t="shared" si="0"/>
        <v>OPF_SDDI_BS050_TS001_TC010_B2B NOU DDI Cancelled on D+1</v>
      </c>
      <c r="D47" s="60" t="s">
        <v>63</v>
      </c>
      <c r="E47" s="14"/>
      <c r="F47" s="62" t="s">
        <v>61</v>
      </c>
      <c r="G47" s="14" t="s">
        <v>161</v>
      </c>
      <c r="H47" s="14" t="s">
        <v>82</v>
      </c>
    </row>
    <row r="48" spans="1:8">
      <c r="A48" s="6">
        <f t="shared" si="1"/>
        <v>47</v>
      </c>
      <c r="B48" s="91" t="s">
        <v>130</v>
      </c>
      <c r="C48" s="87" t="str">
        <f t="shared" si="0"/>
        <v>OPF_SDDI_BS040_TS001_TC030_CORE NOU DDI Cancelled on D-1</v>
      </c>
      <c r="D48" s="60" t="s">
        <v>63</v>
      </c>
      <c r="E48" s="14"/>
      <c r="F48" s="62" t="s">
        <v>61</v>
      </c>
      <c r="G48" s="14" t="s">
        <v>161</v>
      </c>
      <c r="H48" s="14" t="s">
        <v>164</v>
      </c>
    </row>
    <row r="49" spans="1:8">
      <c r="A49" s="6">
        <f t="shared" si="1"/>
        <v>48</v>
      </c>
      <c r="B49" s="91" t="s">
        <v>131</v>
      </c>
      <c r="C49" s="87" t="str">
        <f t="shared" si="0"/>
        <v>OPF_SDDI_BS020_TS001_TC060_OU CORE DDI transaction refunded on D+1</v>
      </c>
      <c r="D49" s="60" t="s">
        <v>63</v>
      </c>
      <c r="E49" s="14"/>
      <c r="F49" s="62" t="s">
        <v>61</v>
      </c>
      <c r="G49" s="14" t="s">
        <v>162</v>
      </c>
      <c r="H49" s="14" t="s">
        <v>82</v>
      </c>
    </row>
    <row r="50" spans="1:8">
      <c r="A50" s="6">
        <f t="shared" si="1"/>
        <v>49</v>
      </c>
      <c r="B50" s="91" t="s">
        <v>132</v>
      </c>
      <c r="C50" s="87" t="str">
        <f t="shared" si="0"/>
        <v>OPF_SDDI_BS020_TS001_TC040_OU B2B DDI transaction rejected on D+3</v>
      </c>
      <c r="D50" s="60" t="s">
        <v>63</v>
      </c>
      <c r="E50" s="14"/>
      <c r="F50" s="62" t="s">
        <v>61</v>
      </c>
      <c r="G50" s="14" t="s">
        <v>161</v>
      </c>
      <c r="H50" s="14" t="s">
        <v>165</v>
      </c>
    </row>
    <row r="51" spans="1:8">
      <c r="A51" s="6">
        <f t="shared" si="1"/>
        <v>50</v>
      </c>
      <c r="B51" s="92" t="s">
        <v>104</v>
      </c>
      <c r="C51" s="87" t="str">
        <f t="shared" si="0"/>
        <v>OPF_SDDI_BS001_TS010_TC070_Mandate Unavailable for CORE and B2B</v>
      </c>
      <c r="D51" s="60" t="s">
        <v>63</v>
      </c>
      <c r="E51" s="14"/>
      <c r="F51" s="62" t="s">
        <v>61</v>
      </c>
      <c r="G51" s="14" t="s">
        <v>161</v>
      </c>
      <c r="H51" s="14" t="s">
        <v>82</v>
      </c>
    </row>
    <row r="52" spans="1:8">
      <c r="A52" s="6">
        <f t="shared" si="1"/>
        <v>51</v>
      </c>
      <c r="B52" s="90" t="s">
        <v>133</v>
      </c>
      <c r="C52" s="87" t="str">
        <f t="shared" si="0"/>
        <v>OPF_SDDI_BS010_TS001_TC050_CORE and B2B NOU Technical Reject</v>
      </c>
      <c r="D52" s="60" t="s">
        <v>63</v>
      </c>
      <c r="E52" s="14"/>
      <c r="F52" s="62" t="s">
        <v>61</v>
      </c>
      <c r="G52" s="14" t="s">
        <v>161</v>
      </c>
      <c r="H52" s="14" t="s">
        <v>4</v>
      </c>
    </row>
    <row r="53" spans="1:8">
      <c r="A53" s="6">
        <f t="shared" si="1"/>
        <v>52</v>
      </c>
      <c r="B53" s="91" t="s">
        <v>134</v>
      </c>
      <c r="C53" s="87" t="str">
        <f t="shared" si="0"/>
        <v>OPF_SDDI_BS010_TS001_TC050_CORE and B2B NOU Technical Reject</v>
      </c>
      <c r="D53" s="60" t="s">
        <v>63</v>
      </c>
      <c r="E53" s="14"/>
      <c r="F53" s="62" t="s">
        <v>61</v>
      </c>
      <c r="G53" s="14" t="s">
        <v>162</v>
      </c>
      <c r="H53" s="14" t="s">
        <v>4</v>
      </c>
    </row>
    <row r="54" spans="1:8">
      <c r="A54" s="6">
        <f t="shared" si="1"/>
        <v>53</v>
      </c>
      <c r="B54" s="90" t="s">
        <v>135</v>
      </c>
      <c r="C54" s="87" t="str">
        <f t="shared" si="0"/>
        <v>OPF_SDDI_BS010_TS001_TC070_Compressed pacs002 loaded for B2B NOU</v>
      </c>
      <c r="D54" s="60" t="s">
        <v>63</v>
      </c>
      <c r="E54" s="14"/>
      <c r="F54" s="62" t="s">
        <v>61</v>
      </c>
      <c r="G54" s="14" t="s">
        <v>161</v>
      </c>
      <c r="H54" s="14" t="s">
        <v>4</v>
      </c>
    </row>
    <row r="55" spans="1:8">
      <c r="A55" s="6">
        <f t="shared" si="1"/>
        <v>54</v>
      </c>
      <c r="B55" s="91" t="s">
        <v>136</v>
      </c>
      <c r="C55" s="87" t="str">
        <f t="shared" si="0"/>
        <v>OPF_SDDI_BS010_TS001_TC080_pacs002 Reversal</v>
      </c>
      <c r="D55" s="60" t="s">
        <v>63</v>
      </c>
      <c r="E55" s="14"/>
      <c r="F55" s="62" t="s">
        <v>61</v>
      </c>
      <c r="G55" s="14" t="s">
        <v>161</v>
      </c>
      <c r="H55" s="14" t="s">
        <v>82</v>
      </c>
    </row>
    <row r="56" spans="1:8">
      <c r="A56" s="6">
        <f t="shared" si="1"/>
        <v>55</v>
      </c>
      <c r="B56" s="90" t="s">
        <v>137</v>
      </c>
      <c r="C56" s="87" t="str">
        <f t="shared" si="0"/>
        <v>OPF_SDDI_BS010_TS010_TC001_DNOR error for CORE and B2B</v>
      </c>
      <c r="D56" s="60" t="s">
        <v>63</v>
      </c>
      <c r="E56" s="14"/>
      <c r="F56" s="62" t="s">
        <v>61</v>
      </c>
      <c r="G56" s="14" t="s">
        <v>161</v>
      </c>
      <c r="H56" s="14" t="s">
        <v>82</v>
      </c>
    </row>
    <row r="57" spans="1:8">
      <c r="A57" s="6">
        <f t="shared" si="1"/>
        <v>56</v>
      </c>
      <c r="B57" s="91" t="s">
        <v>138</v>
      </c>
      <c r="C57" s="87" t="str">
        <f t="shared" si="0"/>
        <v>OPF_SDDI_BS010_TS010_TC001_DNOR error for CORE and B2B</v>
      </c>
      <c r="D57" s="60" t="s">
        <v>63</v>
      </c>
      <c r="E57" s="14"/>
      <c r="F57" s="62" t="s">
        <v>61</v>
      </c>
      <c r="G57" s="14" t="s">
        <v>161</v>
      </c>
      <c r="H57" s="14" t="s">
        <v>82</v>
      </c>
    </row>
    <row r="58" spans="1:8">
      <c r="A58" s="6">
        <f t="shared" si="1"/>
        <v>57</v>
      </c>
      <c r="B58" s="90" t="s">
        <v>139</v>
      </c>
      <c r="C58" s="87" t="str">
        <f t="shared" si="0"/>
        <v>OPF_SDDI_BS020_TS001_TC001_B2B and CORE OU DDI rejected after Settlement Cut-Off Time</v>
      </c>
      <c r="D58" s="60" t="s">
        <v>63</v>
      </c>
      <c r="E58" s="14"/>
      <c r="F58" s="62" t="s">
        <v>61</v>
      </c>
      <c r="G58" s="14" t="s">
        <v>161</v>
      </c>
      <c r="H58" s="14" t="s">
        <v>82</v>
      </c>
    </row>
    <row r="59" spans="1:8">
      <c r="A59" s="6">
        <f t="shared" si="1"/>
        <v>58</v>
      </c>
      <c r="B59" s="91" t="s">
        <v>140</v>
      </c>
      <c r="C59" s="87" t="str">
        <f t="shared" si="0"/>
        <v>OPF_SDDI_BS020_TS001_TC001_B2B and CORE OU DDI rejected after Settlement Cut-Off Time</v>
      </c>
      <c r="D59" s="60" t="s">
        <v>63</v>
      </c>
      <c r="E59" s="14"/>
      <c r="F59" s="62" t="s">
        <v>61</v>
      </c>
      <c r="G59" s="14" t="s">
        <v>161</v>
      </c>
      <c r="H59" s="14" t="s">
        <v>82</v>
      </c>
    </row>
    <row r="60" spans="1:8">
      <c r="A60" s="6">
        <f t="shared" si="1"/>
        <v>59</v>
      </c>
      <c r="B60" s="90" t="s">
        <v>141</v>
      </c>
      <c r="C60" s="87" t="str">
        <f t="shared" si="0"/>
        <v>OPF_SDDI_BS020_TS001_TC020_CORE and B2B NOU DDI transaction returned</v>
      </c>
      <c r="D60" s="60" t="s">
        <v>63</v>
      </c>
      <c r="E60" s="14"/>
      <c r="F60" s="62" t="s">
        <v>61</v>
      </c>
      <c r="G60" s="14" t="s">
        <v>161</v>
      </c>
      <c r="H60" s="14" t="s">
        <v>82</v>
      </c>
    </row>
    <row r="61" spans="1:8">
      <c r="A61" s="6">
        <f t="shared" si="1"/>
        <v>60</v>
      </c>
      <c r="B61" s="91" t="s">
        <v>142</v>
      </c>
      <c r="C61" s="87" t="str">
        <f t="shared" si="0"/>
        <v>OPF_SDDI_BS020_TS001_TC020_CORE and B2B NOU DDI transaction returned</v>
      </c>
      <c r="D61" s="60" t="s">
        <v>63</v>
      </c>
      <c r="E61" s="14"/>
      <c r="F61" s="62" t="s">
        <v>61</v>
      </c>
      <c r="G61" s="14" t="s">
        <v>161</v>
      </c>
      <c r="H61" s="14" t="s">
        <v>82</v>
      </c>
    </row>
    <row r="62" spans="1:8">
      <c r="A62" s="6">
        <f t="shared" si="1"/>
        <v>61</v>
      </c>
      <c r="B62" s="90" t="s">
        <v>143</v>
      </c>
      <c r="C62" s="87" t="str">
        <f t="shared" si="0"/>
        <v>OPF_SDDI_BS020_TS001_TC070_Accounting Scenario L</v>
      </c>
      <c r="D62" s="60" t="s">
        <v>63</v>
      </c>
      <c r="E62" s="14"/>
      <c r="F62" s="62" t="s">
        <v>61</v>
      </c>
      <c r="G62" s="14" t="s">
        <v>161</v>
      </c>
      <c r="H62" s="14" t="s">
        <v>82</v>
      </c>
    </row>
    <row r="63" spans="1:8">
      <c r="A63" s="6">
        <f t="shared" si="1"/>
        <v>62</v>
      </c>
      <c r="B63" s="91" t="s">
        <v>144</v>
      </c>
      <c r="C63" s="87" t="str">
        <f t="shared" si="0"/>
        <v>OPF_SDDI_BS020_TS001_TC090_Refund on D+1 for different compensation amounts</v>
      </c>
      <c r="D63" s="61" t="s">
        <v>163</v>
      </c>
      <c r="E63" s="14"/>
      <c r="F63" s="62" t="s">
        <v>61</v>
      </c>
      <c r="G63" s="14" t="s">
        <v>161</v>
      </c>
      <c r="H63" s="14" t="s">
        <v>82</v>
      </c>
    </row>
    <row r="64" spans="1:8">
      <c r="A64" s="6">
        <f t="shared" si="1"/>
        <v>63</v>
      </c>
      <c r="B64" s="90" t="s">
        <v>145</v>
      </c>
      <c r="C64" s="87" t="str">
        <f t="shared" si="0"/>
        <v>OPF_SDDI_BS030_TS001_TC001_Original Ref field not filled in,CURR error and duplicate Camt055</v>
      </c>
      <c r="D64" s="60" t="s">
        <v>63</v>
      </c>
      <c r="E64" s="14"/>
      <c r="F64" s="62" t="s">
        <v>61</v>
      </c>
      <c r="G64" s="14" t="s">
        <v>161</v>
      </c>
      <c r="H64" s="14" t="s">
        <v>4</v>
      </c>
    </row>
    <row r="65" spans="1:8">
      <c r="A65" s="6">
        <f t="shared" si="1"/>
        <v>64</v>
      </c>
      <c r="B65" s="91" t="s">
        <v>146</v>
      </c>
      <c r="C65" s="87" t="str">
        <f t="shared" si="0"/>
        <v>OPF_SDDI_BS030_TS001_TC001_Original Ref field not filled in,CURR error and duplicate Camt055</v>
      </c>
      <c r="D65" s="60" t="s">
        <v>63</v>
      </c>
      <c r="E65" s="14"/>
      <c r="F65" s="62" t="s">
        <v>61</v>
      </c>
      <c r="G65" s="14" t="s">
        <v>161</v>
      </c>
      <c r="H65" s="14" t="s">
        <v>4</v>
      </c>
    </row>
    <row r="66" spans="1:8">
      <c r="A66" s="6">
        <f t="shared" si="1"/>
        <v>65</v>
      </c>
      <c r="B66" s="90" t="s">
        <v>147</v>
      </c>
      <c r="C66" s="87" t="str">
        <f t="shared" si="0"/>
        <v>OPF_SDDI_BS030_TS001_TC001_Original Ref field not filled in,CURR error and duplicate Camt055</v>
      </c>
      <c r="D66" s="60" t="s">
        <v>63</v>
      </c>
      <c r="E66" s="14"/>
      <c r="F66" s="62" t="s">
        <v>61</v>
      </c>
      <c r="G66" s="14" t="s">
        <v>161</v>
      </c>
      <c r="H66" s="14" t="s">
        <v>4</v>
      </c>
    </row>
    <row r="67" spans="1:8">
      <c r="A67" s="6">
        <f t="shared" si="1"/>
        <v>66</v>
      </c>
      <c r="B67" s="91" t="s">
        <v>148</v>
      </c>
      <c r="C67" s="87" t="str">
        <f t="shared" ref="C67:C91" si="2">RIGHT(B67,(LEN(B67)-3))</f>
        <v>OPF_SDDI_BS030_TS010_TC001_Instruction no longer warehoused or cancelled</v>
      </c>
      <c r="D67" s="60" t="s">
        <v>63</v>
      </c>
      <c r="E67" s="14"/>
      <c r="F67" s="62" t="s">
        <v>61</v>
      </c>
      <c r="G67" s="14" t="s">
        <v>161</v>
      </c>
      <c r="H67" s="14" t="s">
        <v>4</v>
      </c>
    </row>
    <row r="68" spans="1:8">
      <c r="A68" s="6">
        <f t="shared" ref="A68:A91" si="3">A67+1</f>
        <v>67</v>
      </c>
      <c r="B68" s="90" t="s">
        <v>149</v>
      </c>
      <c r="C68" s="87" t="str">
        <f t="shared" si="2"/>
        <v>OPF_SDDI_BS030_TS010_TC001_Instruction no longer warehoused or cancelled</v>
      </c>
      <c r="D68" s="60" t="s">
        <v>63</v>
      </c>
      <c r="E68" s="14"/>
      <c r="F68" s="62" t="s">
        <v>61</v>
      </c>
      <c r="G68" s="14" t="s">
        <v>161</v>
      </c>
      <c r="H68" s="14" t="s">
        <v>4</v>
      </c>
    </row>
    <row r="69" spans="1:8">
      <c r="A69" s="6">
        <f t="shared" si="3"/>
        <v>68</v>
      </c>
      <c r="B69" s="91" t="s">
        <v>150</v>
      </c>
      <c r="C69" s="87" t="str">
        <f t="shared" si="2"/>
        <v>OPF_SDDI_BS030_TS010_TC020_Original Instruction Warehoused in ORM</v>
      </c>
      <c r="D69" s="60" t="s">
        <v>63</v>
      </c>
      <c r="E69" s="14"/>
      <c r="F69" s="62" t="s">
        <v>61</v>
      </c>
      <c r="G69" s="14" t="s">
        <v>161</v>
      </c>
      <c r="H69" s="14" t="s">
        <v>4</v>
      </c>
    </row>
    <row r="70" spans="1:8">
      <c r="A70" s="6">
        <f t="shared" si="3"/>
        <v>69</v>
      </c>
      <c r="B70" s="90" t="s">
        <v>69</v>
      </c>
      <c r="C70" s="87" t="str">
        <f t="shared" si="2"/>
        <v>OPF_SDDI_BS050_TS001_TC020_Two CORE DDIs Cancelled on D+1</v>
      </c>
      <c r="D70" s="60" t="s">
        <v>63</v>
      </c>
      <c r="E70" s="14"/>
      <c r="F70" s="62" t="s">
        <v>61</v>
      </c>
      <c r="G70" s="14" t="s">
        <v>161</v>
      </c>
      <c r="H70" s="14" t="s">
        <v>82</v>
      </c>
    </row>
    <row r="71" spans="1:8">
      <c r="A71" s="6">
        <f t="shared" si="3"/>
        <v>70</v>
      </c>
      <c r="B71" s="91" t="s">
        <v>70</v>
      </c>
      <c r="C71" s="87" t="str">
        <f t="shared" si="2"/>
        <v>OPF_SDDI_BS050_TS001_TC030_CORE NOU DDI Cancelled on D+1</v>
      </c>
      <c r="D71" s="60" t="s">
        <v>63</v>
      </c>
      <c r="E71" s="14"/>
      <c r="F71" s="62" t="s">
        <v>61</v>
      </c>
      <c r="G71" s="14" t="s">
        <v>161</v>
      </c>
      <c r="H71" s="14" t="s">
        <v>82</v>
      </c>
    </row>
    <row r="72" spans="1:8">
      <c r="A72" s="6">
        <f t="shared" si="3"/>
        <v>71</v>
      </c>
      <c r="B72" s="90" t="s">
        <v>71</v>
      </c>
      <c r="C72" s="87" t="str">
        <f t="shared" si="2"/>
        <v>OPF_SDDI_BS060_TS001_TC020_SPO with Insufficient Amount Mandate</v>
      </c>
      <c r="D72" s="60" t="s">
        <v>63</v>
      </c>
      <c r="E72" s="14"/>
      <c r="F72" s="62" t="s">
        <v>61</v>
      </c>
      <c r="G72" s="14" t="s">
        <v>161</v>
      </c>
      <c r="H72" s="14" t="s">
        <v>4</v>
      </c>
    </row>
    <row r="73" spans="1:8">
      <c r="A73" s="6">
        <f t="shared" si="3"/>
        <v>72</v>
      </c>
      <c r="B73" s="91" t="s">
        <v>72</v>
      </c>
      <c r="C73" s="87" t="str">
        <f t="shared" si="2"/>
        <v>OPF_SDDI_BS060_TS001_TC020_SPO with Insufficient Amount Mandate</v>
      </c>
      <c r="D73" s="60" t="s">
        <v>63</v>
      </c>
      <c r="E73" s="14"/>
      <c r="F73" s="62" t="s">
        <v>61</v>
      </c>
      <c r="G73" s="14" t="s">
        <v>161</v>
      </c>
      <c r="H73" s="14" t="s">
        <v>4</v>
      </c>
    </row>
    <row r="74" spans="1:8">
      <c r="A74" s="6">
        <f t="shared" si="3"/>
        <v>73</v>
      </c>
      <c r="B74" s="90" t="s">
        <v>73</v>
      </c>
      <c r="C74" s="87" t="str">
        <f t="shared" si="2"/>
        <v>OPF_SDDI_BS060_TS001_TC040_SPO with Country Limited Mandate</v>
      </c>
      <c r="D74" s="60" t="s">
        <v>63</v>
      </c>
      <c r="E74" s="14"/>
      <c r="F74" s="62" t="s">
        <v>61</v>
      </c>
      <c r="G74" s="14" t="s">
        <v>161</v>
      </c>
      <c r="H74" s="14" t="s">
        <v>4</v>
      </c>
    </row>
    <row r="75" spans="1:8">
      <c r="A75" s="6">
        <f t="shared" si="3"/>
        <v>74</v>
      </c>
      <c r="B75" s="91" t="s">
        <v>74</v>
      </c>
      <c r="C75" s="87" t="str">
        <f t="shared" si="2"/>
        <v>OPF_SDDI_BS060_TS001_TC040_SPO with Country Limited Mandate</v>
      </c>
      <c r="D75" s="60" t="s">
        <v>63</v>
      </c>
      <c r="E75" s="14"/>
      <c r="F75" s="62" t="s">
        <v>61</v>
      </c>
      <c r="G75" s="14" t="s">
        <v>161</v>
      </c>
      <c r="H75" s="14" t="s">
        <v>4</v>
      </c>
    </row>
    <row r="76" spans="1:8">
      <c r="A76" s="6">
        <f t="shared" si="3"/>
        <v>75</v>
      </c>
      <c r="B76" s="90" t="s">
        <v>75</v>
      </c>
      <c r="C76" s="87" t="str">
        <f t="shared" si="2"/>
        <v>OPF_SDDI_BS060_TS010_TC001_SPO Frequency Updated</v>
      </c>
      <c r="D76" s="60" t="s">
        <v>63</v>
      </c>
      <c r="E76" s="14"/>
      <c r="F76" s="62" t="s">
        <v>61</v>
      </c>
      <c r="G76" s="14" t="s">
        <v>161</v>
      </c>
      <c r="H76" s="14" t="s">
        <v>4</v>
      </c>
    </row>
    <row r="77" spans="1:8">
      <c r="A77" s="6">
        <f t="shared" si="3"/>
        <v>76</v>
      </c>
      <c r="B77" s="91" t="s">
        <v>76</v>
      </c>
      <c r="C77" s="87" t="str">
        <f t="shared" si="2"/>
        <v>OPF_SDDI_BS060_TS010_TC010_SPO_Start Settlement Date Today</v>
      </c>
      <c r="D77" s="60" t="s">
        <v>63</v>
      </c>
      <c r="E77" s="14"/>
      <c r="F77" s="62" t="s">
        <v>61</v>
      </c>
      <c r="G77" s="14" t="s">
        <v>161</v>
      </c>
      <c r="H77" s="14" t="s">
        <v>4</v>
      </c>
    </row>
    <row r="78" spans="1:8">
      <c r="A78" s="6">
        <f t="shared" si="3"/>
        <v>77</v>
      </c>
      <c r="B78" s="90" t="s">
        <v>151</v>
      </c>
      <c r="C78" s="87" t="str">
        <f t="shared" si="2"/>
        <v>OPF_SDDI_BS001_TS001_TC130_ServicelevelCode NOT  SEPA</v>
      </c>
      <c r="D78" s="60" t="s">
        <v>63</v>
      </c>
      <c r="E78" s="14"/>
      <c r="F78" s="62" t="s">
        <v>61</v>
      </c>
      <c r="G78" s="14" t="s">
        <v>161</v>
      </c>
      <c r="H78" s="14" t="s">
        <v>4</v>
      </c>
    </row>
    <row r="79" spans="1:8">
      <c r="A79" s="6">
        <f t="shared" si="3"/>
        <v>78</v>
      </c>
      <c r="B79" s="91" t="s">
        <v>152</v>
      </c>
      <c r="C79" s="87" t="str">
        <f t="shared" si="2"/>
        <v>OPF_SDDI_BS001_TS001_TC140_Duplicate PmtInfld</v>
      </c>
      <c r="D79" s="61" t="s">
        <v>163</v>
      </c>
      <c r="E79" s="14"/>
      <c r="F79" s="62" t="s">
        <v>61</v>
      </c>
      <c r="G79" s="14" t="s">
        <v>161</v>
      </c>
      <c r="H79" s="14" t="s">
        <v>4</v>
      </c>
    </row>
    <row r="80" spans="1:8">
      <c r="A80" s="6">
        <f t="shared" si="3"/>
        <v>79</v>
      </c>
      <c r="B80" s="90" t="s">
        <v>153</v>
      </c>
      <c r="C80" s="87" t="str">
        <f t="shared" si="2"/>
        <v>OPF_SDDI_BS001_TS001_TC110_Insufficient Amount Mandate</v>
      </c>
      <c r="D80" s="60" t="s">
        <v>63</v>
      </c>
      <c r="E80" s="14"/>
      <c r="F80" s="62" t="s">
        <v>61</v>
      </c>
      <c r="G80" s="14" t="s">
        <v>161</v>
      </c>
      <c r="H80" s="14" t="s">
        <v>4</v>
      </c>
    </row>
    <row r="81" spans="1:8">
      <c r="A81" s="6">
        <f t="shared" si="3"/>
        <v>80</v>
      </c>
      <c r="B81" s="91" t="s">
        <v>154</v>
      </c>
      <c r="C81" s="87" t="str">
        <f t="shared" si="2"/>
        <v>OPF_SDDI_BS020_TS001_TC080_Accounting Scenario O</v>
      </c>
      <c r="D81" s="61" t="s">
        <v>163</v>
      </c>
      <c r="E81" s="14"/>
      <c r="F81" s="62" t="s">
        <v>61</v>
      </c>
      <c r="G81" s="14" t="s">
        <v>161</v>
      </c>
      <c r="H81" s="14" t="s">
        <v>4</v>
      </c>
    </row>
    <row r="82" spans="1:8">
      <c r="A82" s="6">
        <f t="shared" si="3"/>
        <v>81</v>
      </c>
      <c r="B82" s="90" t="s">
        <v>77</v>
      </c>
      <c r="C82" s="87" t="str">
        <f t="shared" si="2"/>
        <v>OPF_SDDI_BS060_TS001_TC001_SPO with blocked Creditor ID</v>
      </c>
      <c r="D82" s="60" t="s">
        <v>63</v>
      </c>
      <c r="E82" s="14"/>
      <c r="F82" s="62" t="s">
        <v>61</v>
      </c>
      <c r="G82" s="14" t="s">
        <v>161</v>
      </c>
      <c r="H82" s="14" t="s">
        <v>4</v>
      </c>
    </row>
    <row r="83" spans="1:8">
      <c r="A83" s="6">
        <f t="shared" si="3"/>
        <v>82</v>
      </c>
      <c r="B83" s="91" t="s">
        <v>67</v>
      </c>
      <c r="C83" s="87" t="str">
        <f t="shared" si="2"/>
        <v>OPF_SDDI_BS060_TS001_TC001_SPO with blocked Creditor ID</v>
      </c>
      <c r="D83" s="60" t="s">
        <v>63</v>
      </c>
      <c r="E83" s="14"/>
      <c r="F83" s="62" t="s">
        <v>61</v>
      </c>
      <c r="G83" s="14" t="s">
        <v>161</v>
      </c>
      <c r="H83" s="14" t="s">
        <v>4</v>
      </c>
    </row>
    <row r="84" spans="1:8">
      <c r="A84" s="6">
        <f t="shared" si="3"/>
        <v>83</v>
      </c>
      <c r="B84" s="90" t="s">
        <v>78</v>
      </c>
      <c r="C84" s="87" t="str">
        <f t="shared" si="2"/>
        <v>OPF_SDDI_BS060_TS001_TC001_SPO with Blocked Mandate</v>
      </c>
      <c r="D84" s="60" t="s">
        <v>63</v>
      </c>
      <c r="E84" s="14"/>
      <c r="F84" s="62" t="s">
        <v>61</v>
      </c>
      <c r="G84" s="14" t="s">
        <v>161</v>
      </c>
      <c r="H84" s="14" t="s">
        <v>4</v>
      </c>
    </row>
    <row r="85" spans="1:8">
      <c r="A85" s="6">
        <f t="shared" si="3"/>
        <v>84</v>
      </c>
      <c r="B85" s="91" t="s">
        <v>68</v>
      </c>
      <c r="C85" s="87" t="str">
        <f t="shared" si="2"/>
        <v>OPF_SDDI_BS060_TS001_TC001_SPO with Blocked Mandate</v>
      </c>
      <c r="D85" s="60" t="s">
        <v>63</v>
      </c>
      <c r="E85" s="14"/>
      <c r="F85" s="62" t="s">
        <v>61</v>
      </c>
      <c r="G85" s="14" t="s">
        <v>161</v>
      </c>
      <c r="H85" s="14" t="s">
        <v>4</v>
      </c>
    </row>
    <row r="86" spans="1:8">
      <c r="A86" s="6">
        <f t="shared" si="3"/>
        <v>85</v>
      </c>
      <c r="B86" s="90" t="s">
        <v>155</v>
      </c>
      <c r="C86" s="87" t="str">
        <f t="shared" si="2"/>
        <v>OPF_SDDI_BS020_TS001_TC050_NOU CORE DDI rejected on D+15</v>
      </c>
      <c r="D86" s="60" t="s">
        <v>63</v>
      </c>
      <c r="E86" s="14"/>
      <c r="F86" s="62" t="s">
        <v>61</v>
      </c>
      <c r="G86" s="14" t="s">
        <v>161</v>
      </c>
      <c r="H86" s="14" t="s">
        <v>4</v>
      </c>
    </row>
    <row r="87" spans="1:8">
      <c r="A87" s="6">
        <f t="shared" si="3"/>
        <v>86</v>
      </c>
      <c r="B87" s="91" t="s">
        <v>156</v>
      </c>
      <c r="C87" s="87" t="str">
        <f t="shared" si="2"/>
        <v>OPF_SDDI_BS001_TS001_TC040_Insufficient funds</v>
      </c>
      <c r="D87" s="60" t="s">
        <v>63</v>
      </c>
      <c r="E87" s="14"/>
      <c r="F87" s="62" t="s">
        <v>61</v>
      </c>
      <c r="G87" s="14" t="s">
        <v>161</v>
      </c>
      <c r="H87" s="14" t="s">
        <v>4</v>
      </c>
    </row>
    <row r="88" spans="1:8">
      <c r="A88" s="6">
        <f t="shared" si="3"/>
        <v>87</v>
      </c>
      <c r="B88" s="90" t="s">
        <v>157</v>
      </c>
      <c r="C88" s="87" t="str">
        <f t="shared" si="2"/>
        <v>OPF_SDDI_BS001_TS001_TC050_Blocked Account</v>
      </c>
      <c r="D88" s="60" t="s">
        <v>63</v>
      </c>
      <c r="E88" s="14"/>
      <c r="F88" s="62" t="s">
        <v>61</v>
      </c>
      <c r="G88" s="14" t="s">
        <v>161</v>
      </c>
      <c r="H88" s="14" t="s">
        <v>4</v>
      </c>
    </row>
    <row r="89" spans="1:8">
      <c r="A89" s="6">
        <f t="shared" si="3"/>
        <v>88</v>
      </c>
      <c r="B89" s="91" t="s">
        <v>158</v>
      </c>
      <c r="C89" s="87" t="str">
        <f t="shared" si="2"/>
        <v>OPF_SDDI_BS001_TS001_TC020_Invalid IBAN</v>
      </c>
      <c r="D89" s="61" t="s">
        <v>163</v>
      </c>
      <c r="E89" s="14"/>
      <c r="F89" s="62" t="s">
        <v>61</v>
      </c>
      <c r="G89" s="14" t="s">
        <v>161</v>
      </c>
      <c r="H89" s="14" t="s">
        <v>4</v>
      </c>
    </row>
    <row r="90" spans="1:8">
      <c r="A90" s="6">
        <f t="shared" si="3"/>
        <v>89</v>
      </c>
      <c r="B90" s="90" t="s">
        <v>159</v>
      </c>
      <c r="C90" s="87" t="str">
        <f t="shared" si="2"/>
        <v>OPF_SDDI_BS001_TS001_TC030_Two instructions</v>
      </c>
      <c r="D90" s="60" t="s">
        <v>63</v>
      </c>
      <c r="E90" s="14"/>
      <c r="F90" s="62" t="s">
        <v>61</v>
      </c>
      <c r="G90" s="14" t="s">
        <v>4</v>
      </c>
      <c r="H90" s="14" t="s">
        <v>4</v>
      </c>
    </row>
    <row r="91" spans="1:8" ht="15.75" customHeight="1">
      <c r="A91" s="6">
        <f t="shared" si="3"/>
        <v>90</v>
      </c>
      <c r="B91" s="89" t="s">
        <v>160</v>
      </c>
      <c r="C91" s="87" t="str">
        <f t="shared" si="2"/>
        <v>OPF_SDDI_BS001_TS001_TC120_Higher Amount Transaction</v>
      </c>
      <c r="D91" s="61" t="s">
        <v>163</v>
      </c>
      <c r="E91" s="14"/>
      <c r="F91" s="62" t="s">
        <v>61</v>
      </c>
      <c r="G91" s="14" t="s">
        <v>161</v>
      </c>
      <c r="H91" s="14" t="s">
        <v>4</v>
      </c>
    </row>
  </sheetData>
  <autoFilter ref="A1:H91"/>
  <dataConsolidate/>
  <dataValidations count="2">
    <dataValidation type="list" allowBlank="1" showInputMessage="1" showErrorMessage="1" sqref="E8:E10 E2:E6">
      <formula1>"IniPmt D,IniPmt D+1,IniPmt D+2,IniPmt D+3,IniPmt D+4,IniPmt D+5,IniPmt D+6,IniPmt D+7, IniPmt D+8, IniPmt D+9, IniPmt D+10, D,D+1,D+2,D+3,D+4,D+5,D+6,D+7,D+8,D+9,D+10"</formula1>
    </dataValidation>
    <dataValidation type="list" allowBlank="1" showInputMessage="1" showErrorMessage="1" sqref="G2:H91">
      <formula1>"D-6,D-5,D-4,D-3,D-2,D-1,D,D+1,D+2,D+3,D+4,D+5,D+6,D+7,D+8,D+9,D+10"</formula1>
    </dataValidation>
  </dataValidations>
  <pageMargins left="0.7" right="0.7" top="0.75" bottom="0.75" header="0.3" footer="0.3"/>
  <pageSetup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G56"/>
  <sheetViews>
    <sheetView topLeftCell="A22" workbookViewId="0"/>
  </sheetViews>
  <sheetFormatPr defaultRowHeight="15"/>
  <cols>
    <col min="1" max="1" width="9.140625" style="8"/>
    <col min="2" max="2" width="37.7109375" style="8" bestFit="1" customWidth="1"/>
    <col min="3" max="16384" width="9.140625" style="8"/>
  </cols>
  <sheetData>
    <row r="2" spans="1:4" ht="18.75">
      <c r="A2" s="75" t="s">
        <v>59</v>
      </c>
      <c r="B2" s="75"/>
    </row>
    <row r="3" spans="1:4" ht="15.75">
      <c r="A3" s="47"/>
    </row>
    <row r="4" spans="1:4" ht="15" customHeight="1">
      <c r="A4" s="76" t="s">
        <v>32</v>
      </c>
      <c r="B4" s="76"/>
    </row>
    <row r="5" spans="1:4" ht="15" customHeight="1">
      <c r="A5" s="51"/>
      <c r="B5" s="51"/>
    </row>
    <row r="6" spans="1:4" ht="15.75">
      <c r="A6" s="55" t="s">
        <v>33</v>
      </c>
      <c r="B6" s="50" t="s">
        <v>34</v>
      </c>
      <c r="C6" s="83" t="s">
        <v>35</v>
      </c>
      <c r="D6" s="84"/>
    </row>
    <row r="7" spans="1:4" ht="15.75">
      <c r="A7" s="47"/>
    </row>
    <row r="8" spans="1:4" ht="15.75">
      <c r="A8" s="47"/>
    </row>
    <row r="9" spans="1:4" ht="15.75">
      <c r="A9" s="47"/>
    </row>
    <row r="10" spans="1:4" ht="15.75">
      <c r="A10" s="47"/>
    </row>
    <row r="11" spans="1:4" ht="15.75">
      <c r="A11" s="47"/>
    </row>
    <row r="12" spans="1:4" ht="15.75">
      <c r="A12" s="47"/>
    </row>
    <row r="13" spans="1:4" ht="15.75">
      <c r="A13" s="47"/>
    </row>
    <row r="14" spans="1:4" ht="15.75">
      <c r="A14" s="47"/>
    </row>
    <row r="15" spans="1:4" ht="15.75">
      <c r="A15" s="47"/>
    </row>
    <row r="16" spans="1:4" ht="15.75">
      <c r="A16" s="47"/>
    </row>
    <row r="17" spans="1:5" ht="15.75">
      <c r="A17" s="47"/>
    </row>
    <row r="18" spans="1:5" ht="15.75">
      <c r="A18" s="47"/>
    </row>
    <row r="19" spans="1:5" ht="15.75">
      <c r="A19" s="47"/>
    </row>
    <row r="20" spans="1:5" ht="15.75">
      <c r="A20" s="47"/>
    </row>
    <row r="21" spans="1:5" ht="15.75">
      <c r="A21" s="47"/>
    </row>
    <row r="22" spans="1:5" ht="15.75">
      <c r="A22" s="47"/>
    </row>
    <row r="23" spans="1:5" ht="15.75">
      <c r="A23" s="47"/>
    </row>
    <row r="24" spans="1:5" ht="15.75">
      <c r="A24" s="47"/>
    </row>
    <row r="25" spans="1:5" ht="15.75">
      <c r="A25" s="47"/>
    </row>
    <row r="26" spans="1:5" ht="15.75">
      <c r="A26" s="47"/>
    </row>
    <row r="27" spans="1:5" ht="15.75">
      <c r="A27" s="55" t="s">
        <v>36</v>
      </c>
      <c r="B27" s="50" t="s">
        <v>37</v>
      </c>
      <c r="C27" s="83" t="s">
        <v>38</v>
      </c>
      <c r="D27" s="84"/>
      <c r="E27" s="84"/>
    </row>
    <row r="28" spans="1:5" ht="15.75">
      <c r="A28" s="47"/>
    </row>
    <row r="29" spans="1:5" ht="15.75">
      <c r="A29" s="47"/>
    </row>
    <row r="30" spans="1:5" ht="15.75">
      <c r="A30" s="47"/>
    </row>
    <row r="31" spans="1:5" ht="15.75">
      <c r="A31" s="47"/>
    </row>
    <row r="32" spans="1:5" ht="15.75">
      <c r="A32" s="47"/>
    </row>
    <row r="33" spans="1:7" ht="15.75">
      <c r="A33" s="47"/>
    </row>
    <row r="34" spans="1:7" ht="15.75">
      <c r="A34" s="47"/>
    </row>
    <row r="35" spans="1:7" ht="15.75">
      <c r="A35" s="47"/>
    </row>
    <row r="36" spans="1:7" ht="15.75">
      <c r="A36" s="47"/>
    </row>
    <row r="37" spans="1:7" ht="15.75">
      <c r="A37" s="47"/>
    </row>
    <row r="38" spans="1:7" ht="15.75">
      <c r="A38" s="47"/>
    </row>
    <row r="39" spans="1:7" ht="15.75">
      <c r="A39" s="47"/>
    </row>
    <row r="40" spans="1:7" ht="15.75">
      <c r="A40" s="56" t="s">
        <v>39</v>
      </c>
      <c r="B40" s="50" t="s">
        <v>40</v>
      </c>
      <c r="C40" s="85" t="s">
        <v>53</v>
      </c>
      <c r="D40" s="86"/>
    </row>
    <row r="41" spans="1:7" ht="15.75">
      <c r="A41" s="47"/>
    </row>
    <row r="42" spans="1:7" ht="15.75">
      <c r="A42" s="47"/>
      <c r="B42" s="46" t="s">
        <v>5</v>
      </c>
      <c r="C42" s="79" t="s">
        <v>41</v>
      </c>
      <c r="D42" s="79"/>
      <c r="E42" s="79"/>
      <c r="F42" s="79"/>
      <c r="G42" s="79"/>
    </row>
    <row r="43" spans="1:7" ht="15.75">
      <c r="A43" s="47"/>
      <c r="B43" s="46" t="s">
        <v>0</v>
      </c>
      <c r="C43" s="79" t="s">
        <v>42</v>
      </c>
      <c r="D43" s="79"/>
      <c r="E43" s="79"/>
      <c r="F43" s="79"/>
      <c r="G43" s="79"/>
    </row>
    <row r="44" spans="1:7" ht="15.75">
      <c r="A44" s="47"/>
      <c r="B44" s="46" t="s">
        <v>6</v>
      </c>
      <c r="C44" s="79" t="s">
        <v>43</v>
      </c>
      <c r="D44" s="79"/>
      <c r="E44" s="79"/>
      <c r="F44" s="79"/>
      <c r="G44" s="79"/>
    </row>
    <row r="45" spans="1:7" ht="15.75">
      <c r="A45" s="47"/>
      <c r="B45" s="46" t="s">
        <v>1</v>
      </c>
      <c r="C45" s="79" t="s">
        <v>44</v>
      </c>
      <c r="D45" s="79"/>
      <c r="E45" s="79"/>
      <c r="F45" s="79"/>
      <c r="G45" s="79"/>
    </row>
    <row r="46" spans="1:7" ht="67.5" customHeight="1">
      <c r="A46" s="47"/>
      <c r="B46" s="46" t="s">
        <v>3</v>
      </c>
      <c r="C46" s="80" t="s">
        <v>62</v>
      </c>
      <c r="D46" s="81"/>
      <c r="E46" s="81"/>
      <c r="F46" s="81"/>
      <c r="G46" s="82"/>
    </row>
    <row r="47" spans="1:7" ht="15.75">
      <c r="A47" s="47"/>
      <c r="B47" s="46" t="s">
        <v>2</v>
      </c>
      <c r="C47" s="79" t="s">
        <v>45</v>
      </c>
      <c r="D47" s="79"/>
      <c r="E47" s="79"/>
      <c r="F47" s="79"/>
      <c r="G47" s="79"/>
    </row>
    <row r="48" spans="1:7" ht="15.75">
      <c r="A48" s="47"/>
      <c r="B48" s="46" t="s">
        <v>17</v>
      </c>
      <c r="C48" s="79" t="s">
        <v>46</v>
      </c>
      <c r="D48" s="79"/>
      <c r="E48" s="79"/>
      <c r="F48" s="79"/>
      <c r="G48" s="79"/>
    </row>
    <row r="49" spans="1:7" ht="15.75">
      <c r="A49" s="47"/>
      <c r="B49" s="46" t="s">
        <v>18</v>
      </c>
      <c r="C49" s="79" t="s">
        <v>47</v>
      </c>
      <c r="D49" s="79"/>
      <c r="E49" s="79"/>
      <c r="F49" s="79"/>
      <c r="G49" s="79"/>
    </row>
    <row r="50" spans="1:7" ht="15.75">
      <c r="A50" s="47"/>
    </row>
    <row r="51" spans="1:7" ht="15.75">
      <c r="A51" s="47"/>
    </row>
    <row r="52" spans="1:7" ht="15.75">
      <c r="A52" s="56" t="s">
        <v>48</v>
      </c>
      <c r="B52" s="45" t="s">
        <v>49</v>
      </c>
      <c r="C52" s="85" t="s">
        <v>54</v>
      </c>
      <c r="D52" s="86"/>
    </row>
    <row r="53" spans="1:7" ht="15.75">
      <c r="A53" s="47"/>
      <c r="B53" s="50" t="s">
        <v>50</v>
      </c>
    </row>
    <row r="54" spans="1:7" ht="77.25">
      <c r="B54" s="49" t="s">
        <v>51</v>
      </c>
      <c r="C54" s="77" t="s">
        <v>52</v>
      </c>
      <c r="D54" s="78"/>
      <c r="E54" s="78"/>
      <c r="F54" s="78"/>
    </row>
    <row r="55" spans="1:7">
      <c r="B55" s="48"/>
    </row>
    <row r="56" spans="1:7" ht="15.75">
      <c r="A56" s="56" t="s">
        <v>60</v>
      </c>
    </row>
  </sheetData>
  <mergeCells count="15">
    <mergeCell ref="A2:B2"/>
    <mergeCell ref="A4:B4"/>
    <mergeCell ref="C54:F54"/>
    <mergeCell ref="C42:G42"/>
    <mergeCell ref="C43:G43"/>
    <mergeCell ref="C44:G44"/>
    <mergeCell ref="C45:G45"/>
    <mergeCell ref="C46:G46"/>
    <mergeCell ref="C47:G47"/>
    <mergeCell ref="C48:G48"/>
    <mergeCell ref="C49:G49"/>
    <mergeCell ref="C27:E27"/>
    <mergeCell ref="C6:D6"/>
    <mergeCell ref="C40:D40"/>
    <mergeCell ref="C52:D52"/>
  </mergeCells>
  <hyperlinks>
    <hyperlink ref="C6" location="ExecutionDetails!B5" display="Enter the Paths"/>
    <hyperlink ref="C27" location="ReportHeaderInformation!B2" display="Enter the Header Info"/>
    <hyperlink ref="C40" location="GenerateReport!A1" display="Enter TC Details"/>
    <hyperlink ref="C52" location="ExecutionDetails!F5" display="Execute Macors"/>
  </hyperlinks>
  <pageMargins left="0.7" right="0.7" top="0.75" bottom="0.75" header="0.3" footer="0.3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ExecutionDetails</vt:lpstr>
      <vt:lpstr>ReportHeaderInformation</vt:lpstr>
      <vt:lpstr>GenerateReport</vt:lpstr>
      <vt:lpstr>User Guide</vt:lpstr>
    </vt:vector>
  </TitlesOfParts>
  <Company>Rabobank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Dadhe, G (Gaurav)</dc:creator>
  <cp:lastModifiedBy>Kora, N (Naveen)</cp:lastModifiedBy>
  <dcterms:created xsi:type="dcterms:W3CDTF">2015-08-05T15:21:38Z</dcterms:created>
  <dcterms:modified xsi:type="dcterms:W3CDTF">2016-07-22T13:11:08Z</dcterms:modified>
</cp:coreProperties>
</file>